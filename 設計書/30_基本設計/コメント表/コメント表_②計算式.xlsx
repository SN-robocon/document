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コメント表\"/>
    </mc:Choice>
  </mc:AlternateContent>
  <xr:revisionPtr revIDLastSave="0" documentId="13_ncr:1_{FD149FBF-CD70-462E-B686-083A1B17C7CB}" xr6:coauthVersionLast="36" xr6:coauthVersionMax="47" xr10:uidLastSave="{00000000-0000-0000-0000-000000000000}"/>
  <bookViews>
    <workbookView xWindow="0" yWindow="0" windowWidth="21570" windowHeight="7800" tabRatio="697" activeTab="1" xr2:uid="{22D4320E-C131-4AFA-ABD3-5AE4626284C4}"/>
  </bookViews>
  <sheets>
    <sheet name="コメント表_回転数計算" sheetId="1" r:id="rId1"/>
    <sheet name="コメント表_PWM計算" sheetId="3" r:id="rId2"/>
    <sheet name="コメント表_角度計算" sheetId="4" r:id="rId3"/>
    <sheet name="コメント表_距離計算" sheetId="5" r:id="rId4"/>
    <sheet name="コメント表_HSV値計算" sheetId="6" r:id="rId5"/>
    <sheet name="コメント表_PID" sheetId="7" r:id="rId6"/>
    <sheet name="setting" sheetId="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7" l="1"/>
  <c r="S9" i="7" s="1"/>
  <c r="M9" i="6"/>
  <c r="S9" i="6" s="1"/>
  <c r="M9" i="5"/>
  <c r="S9" i="5" s="1"/>
  <c r="M9" i="4" l="1"/>
  <c r="S9" i="4" s="1"/>
  <c r="M9" i="3"/>
  <c r="S9" i="3" s="1"/>
  <c r="M9" i="1" l="1"/>
  <c r="S9" i="1" s="1"/>
</calcChain>
</file>

<file path=xl/sharedStrings.xml><?xml version="1.0" encoding="utf-8"?>
<sst xmlns="http://schemas.openxmlformats.org/spreadsheetml/2006/main" count="370" uniqueCount="140">
  <si>
    <t>プロジェクト名</t>
    <rPh sb="6" eb="7">
      <t>メイ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</si>
  <si>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</si>
  <si>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</si>
  <si>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レビューア</t>
    <phoneticPr fontId="1"/>
  </si>
  <si>
    <t>レビューイ</t>
    <phoneticPr fontId="1"/>
  </si>
  <si>
    <t>日付</t>
    <rPh sb="0" eb="2">
      <t>ヒヅケ</t>
    </rPh>
    <phoneticPr fontId="1"/>
  </si>
  <si>
    <t>所要時間</t>
    <rPh sb="0" eb="4">
      <t>ショヨウジカン</t>
    </rPh>
    <phoneticPr fontId="1"/>
  </si>
  <si>
    <t>機能名</t>
    <rPh sb="0" eb="3">
      <t>キノウメイ</t>
    </rPh>
    <phoneticPr fontId="1"/>
  </si>
  <si>
    <t>工程</t>
    <rPh sb="0" eb="2">
      <t>コウテイ</t>
    </rPh>
    <phoneticPr fontId="1"/>
  </si>
  <si>
    <t>No</t>
    <phoneticPr fontId="1"/>
  </si>
  <si>
    <t>指摘内容</t>
    <rPh sb="0" eb="2">
      <t>シテキ</t>
    </rPh>
    <rPh sb="2" eb="4">
      <t>ナイヨウ</t>
    </rPh>
    <phoneticPr fontId="1"/>
  </si>
  <si>
    <t>埋込工程</t>
    <rPh sb="0" eb="2">
      <t>ウメコミ</t>
    </rPh>
    <rPh sb="2" eb="4">
      <t>コウテイ</t>
    </rPh>
    <phoneticPr fontId="1"/>
  </si>
  <si>
    <t>重要度</t>
    <rPh sb="0" eb="3">
      <t>ジュウヨウド</t>
    </rPh>
    <phoneticPr fontId="1"/>
  </si>
  <si>
    <t>対応要否</t>
    <rPh sb="0" eb="2">
      <t>タイオウ</t>
    </rPh>
    <rPh sb="2" eb="4">
      <t>ヨウヒ</t>
    </rPh>
    <phoneticPr fontId="1"/>
  </si>
  <si>
    <t>対応状況</t>
    <rPh sb="0" eb="2">
      <t>タイオウ</t>
    </rPh>
    <rPh sb="2" eb="4">
      <t>ジョウキョウ</t>
    </rPh>
    <phoneticPr fontId="1"/>
  </si>
  <si>
    <t>確認者</t>
    <rPh sb="0" eb="3">
      <t>カクニンシャ</t>
    </rPh>
    <phoneticPr fontId="1"/>
  </si>
  <si>
    <t>完了日</t>
    <rPh sb="0" eb="3">
      <t>カンリョウビ</t>
    </rPh>
    <phoneticPr fontId="1"/>
  </si>
  <si>
    <t>重複</t>
    <rPh sb="0" eb="2">
      <t>チョウフク</t>
    </rPh>
    <phoneticPr fontId="1"/>
  </si>
  <si>
    <t>誤字・脱字</t>
    <rPh sb="0" eb="2">
      <t>ゴジ</t>
    </rPh>
    <rPh sb="3" eb="5">
      <t>ダツジ</t>
    </rPh>
    <phoneticPr fontId="1"/>
  </si>
  <si>
    <t>ジョブ設定</t>
    <rPh sb="3" eb="5">
      <t>セッテイ</t>
    </rPh>
    <phoneticPr fontId="1"/>
  </si>
  <si>
    <t>参加人数</t>
    <rPh sb="0" eb="2">
      <t>サンカ</t>
    </rPh>
    <rPh sb="2" eb="4">
      <t>ニンズウ</t>
    </rPh>
    <phoneticPr fontId="1"/>
  </si>
  <si>
    <t>～</t>
    <phoneticPr fontId="1"/>
  </si>
  <si>
    <t>レビュー日時</t>
    <rPh sb="4" eb="6">
      <t>ニチジ</t>
    </rPh>
    <phoneticPr fontId="1"/>
  </si>
  <si>
    <t>時間</t>
    <rPh sb="0" eb="2">
      <t>ジカン</t>
    </rPh>
    <phoneticPr fontId="1"/>
  </si>
  <si>
    <t>指摘分類</t>
    <rPh sb="0" eb="2">
      <t>シテキ</t>
    </rPh>
    <rPh sb="2" eb="4">
      <t>ブンルイ</t>
    </rPh>
    <phoneticPr fontId="1"/>
  </si>
  <si>
    <t>原因分類</t>
    <rPh sb="0" eb="2">
      <t>ゲンイン</t>
    </rPh>
    <rPh sb="2" eb="4">
      <t>ブンルイ</t>
    </rPh>
    <phoneticPr fontId="1"/>
  </si>
  <si>
    <t>仕様誤り</t>
    <rPh sb="0" eb="2">
      <t>シヨウ</t>
    </rPh>
    <rPh sb="2" eb="3">
      <t>アヤマ</t>
    </rPh>
    <phoneticPr fontId="1"/>
  </si>
  <si>
    <t>仕様漏れ</t>
    <rPh sb="0" eb="2">
      <t>シヨウ</t>
    </rPh>
    <rPh sb="2" eb="3">
      <t>モ</t>
    </rPh>
    <phoneticPr fontId="1"/>
  </si>
  <si>
    <t>曖昧表現</t>
    <rPh sb="0" eb="2">
      <t>アイマイ</t>
    </rPh>
    <rPh sb="2" eb="4">
      <t>ヒョウゲン</t>
    </rPh>
    <phoneticPr fontId="1"/>
  </si>
  <si>
    <t>仕様間不整合</t>
    <rPh sb="0" eb="2">
      <t>シヨウ</t>
    </rPh>
    <rPh sb="2" eb="3">
      <t>アイダ</t>
    </rPh>
    <rPh sb="3" eb="6">
      <t>フセイゴウ</t>
    </rPh>
    <phoneticPr fontId="1"/>
  </si>
  <si>
    <t>機能改善</t>
    <rPh sb="0" eb="4">
      <t>キノウカイゼン</t>
    </rPh>
    <phoneticPr fontId="1"/>
  </si>
  <si>
    <t>規約違反</t>
    <rPh sb="0" eb="4">
      <t>キヤクイハン</t>
    </rPh>
    <phoneticPr fontId="1"/>
  </si>
  <si>
    <t>その他</t>
    <rPh sb="2" eb="3">
      <t>タ</t>
    </rPh>
    <phoneticPr fontId="1"/>
  </si>
  <si>
    <t>仕様変更</t>
    <rPh sb="0" eb="4">
      <t>シヨウヘンコウ</t>
    </rPh>
    <phoneticPr fontId="1"/>
  </si>
  <si>
    <t>上流設計誤り</t>
    <rPh sb="0" eb="2">
      <t>ジョウリュウ</t>
    </rPh>
    <rPh sb="2" eb="4">
      <t>セッケイ</t>
    </rPh>
    <rPh sb="4" eb="5">
      <t>アヤマ</t>
    </rPh>
    <phoneticPr fontId="1"/>
  </si>
  <si>
    <t>検討不足</t>
    <rPh sb="0" eb="2">
      <t>ケントウ</t>
    </rPh>
    <rPh sb="2" eb="4">
      <t>フソク</t>
    </rPh>
    <phoneticPr fontId="1"/>
  </si>
  <si>
    <t>標準理解不足</t>
    <rPh sb="0" eb="2">
      <t>ヒョウジュン</t>
    </rPh>
    <rPh sb="2" eb="4">
      <t>リカイ</t>
    </rPh>
    <rPh sb="4" eb="6">
      <t>フソク</t>
    </rPh>
    <phoneticPr fontId="1"/>
  </si>
  <si>
    <t>単純ミス</t>
    <rPh sb="0" eb="2">
      <t>タンジュン</t>
    </rPh>
    <phoneticPr fontId="1"/>
  </si>
  <si>
    <t>指摘ミス</t>
    <rPh sb="0" eb="2">
      <t>シテキ</t>
    </rPh>
    <phoneticPr fontId="1"/>
  </si>
  <si>
    <t>情報共有不足</t>
    <rPh sb="0" eb="4">
      <t>ジョウホウキョウユウ</t>
    </rPh>
    <rPh sb="4" eb="6">
      <t>フソク</t>
    </rPh>
    <phoneticPr fontId="1"/>
  </si>
  <si>
    <t>改善要望</t>
    <rPh sb="0" eb="4">
      <t>カイゼンヨウボウ</t>
    </rPh>
    <phoneticPr fontId="1"/>
  </si>
  <si>
    <t>セキュリティ不正</t>
    <rPh sb="6" eb="8">
      <t>フセイ</t>
    </rPh>
    <phoneticPr fontId="1"/>
  </si>
  <si>
    <t>データ連携</t>
    <rPh sb="3" eb="5">
      <t>レンケイ</t>
    </rPh>
    <phoneticPr fontId="1"/>
  </si>
  <si>
    <t>チェック処理</t>
    <rPh sb="4" eb="6">
      <t>ショリ</t>
    </rPh>
    <phoneticPr fontId="1"/>
  </si>
  <si>
    <t>ファイル出力</t>
    <rPh sb="4" eb="6">
      <t>シュツリョク</t>
    </rPh>
    <phoneticPr fontId="1"/>
  </si>
  <si>
    <t>ログ出力</t>
    <rPh sb="2" eb="4">
      <t>シュツリョク</t>
    </rPh>
    <phoneticPr fontId="1"/>
  </si>
  <si>
    <t>DB処理</t>
    <rPh sb="2" eb="4">
      <t>ショリ</t>
    </rPh>
    <phoneticPr fontId="1"/>
  </si>
  <si>
    <t>例外処理</t>
    <rPh sb="0" eb="2">
      <t>レイガイ</t>
    </rPh>
    <rPh sb="2" eb="4">
      <t>ショリ</t>
    </rPh>
    <phoneticPr fontId="1"/>
  </si>
  <si>
    <t>パラメータ設定</t>
    <rPh sb="5" eb="7">
      <t>セッテイ</t>
    </rPh>
    <phoneticPr fontId="1"/>
  </si>
  <si>
    <t>画面表示処理</t>
    <rPh sb="0" eb="2">
      <t>ガメン</t>
    </rPh>
    <rPh sb="2" eb="4">
      <t>ヒョウジ</t>
    </rPh>
    <rPh sb="4" eb="6">
      <t>ショリ</t>
    </rPh>
    <phoneticPr fontId="1"/>
  </si>
  <si>
    <t>帳票出力処理</t>
    <rPh sb="0" eb="2">
      <t>チョウヒョウ</t>
    </rPh>
    <rPh sb="2" eb="4">
      <t>シュツリョク</t>
    </rPh>
    <rPh sb="4" eb="6">
      <t>ショリ</t>
    </rPh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</si>
  <si>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</si>
  <si>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</si>
  <si>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</si>
  <si>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開発</t>
    <rPh sb="0" eb="2">
      <t>カイハツ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</si>
  <si>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</si>
  <si>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</si>
  <si>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システムテスト</t>
    <phoneticPr fontId="1"/>
  </si>
  <si>
    <t>受入テスト</t>
    <rPh sb="0" eb="2">
      <t>ウケイレ</t>
    </rPh>
    <phoneticPr fontId="1"/>
  </si>
  <si>
    <t>リリース</t>
    <phoneticPr fontId="1"/>
  </si>
  <si>
    <t>総工数</t>
    <rPh sb="0" eb="3">
      <t>ソウコウスウ</t>
    </rPh>
    <phoneticPr fontId="1"/>
  </si>
  <si>
    <t>高</t>
    <rPh sb="0" eb="1">
      <t>タカ</t>
    </rPh>
    <phoneticPr fontId="1"/>
  </si>
  <si>
    <t>中</t>
    <rPh sb="0" eb="1">
      <t>ナカ</t>
    </rPh>
    <phoneticPr fontId="1"/>
  </si>
  <si>
    <t>低</t>
    <rPh sb="0" eb="1">
      <t>ヒク</t>
    </rPh>
    <phoneticPr fontId="1"/>
  </si>
  <si>
    <t>○</t>
    <phoneticPr fontId="1"/>
  </si>
  <si>
    <t>要</t>
    <rPh sb="0" eb="1">
      <t>ヨウ</t>
    </rPh>
    <phoneticPr fontId="1"/>
  </si>
  <si>
    <t>不要</t>
    <rPh sb="0" eb="2">
      <t>フヨウ</t>
    </rPh>
    <phoneticPr fontId="1"/>
  </si>
  <si>
    <t>保留</t>
    <rPh sb="0" eb="2">
      <t>ホリュウ</t>
    </rPh>
    <phoneticPr fontId="1"/>
  </si>
  <si>
    <t>要確認</t>
    <rPh sb="0" eb="1">
      <t>ヨウ</t>
    </rPh>
    <rPh sb="1" eb="3">
      <t>カクニン</t>
    </rPh>
    <phoneticPr fontId="1"/>
  </si>
  <si>
    <t>未着手</t>
    <rPh sb="0" eb="3">
      <t>ミチャクシュ</t>
    </rPh>
    <phoneticPr fontId="1"/>
  </si>
  <si>
    <t>対応中</t>
    <rPh sb="0" eb="2">
      <t>タイオウ</t>
    </rPh>
    <rPh sb="2" eb="3">
      <t>チュウ</t>
    </rPh>
    <phoneticPr fontId="1"/>
  </si>
  <si>
    <t>取下げ</t>
    <rPh sb="0" eb="2">
      <t>トリサ</t>
    </rPh>
    <phoneticPr fontId="1"/>
  </si>
  <si>
    <t>完了</t>
    <rPh sb="0" eb="2">
      <t>カンリョウ</t>
    </rPh>
    <phoneticPr fontId="1"/>
  </si>
  <si>
    <t>ステータス</t>
    <phoneticPr fontId="1"/>
  </si>
  <si>
    <t>レビュー対象
ドキュメント</t>
    <rPh sb="4" eb="6">
      <t>タイショウ</t>
    </rPh>
    <phoneticPr fontId="1"/>
  </si>
  <si>
    <t>指摘箇所</t>
    <rPh sb="0" eb="2">
      <t>シテキ</t>
    </rPh>
    <rPh sb="2" eb="4">
      <t>カショ</t>
    </rPh>
    <phoneticPr fontId="1"/>
  </si>
  <si>
    <t>指摘対象</t>
    <rPh sb="0" eb="2">
      <t>シテキ</t>
    </rPh>
    <rPh sb="2" eb="4">
      <t>タイショウ</t>
    </rPh>
    <phoneticPr fontId="1"/>
  </si>
  <si>
    <t>箇所・頁</t>
    <rPh sb="0" eb="2">
      <t>カショ</t>
    </rPh>
    <rPh sb="3" eb="4">
      <t>ページ</t>
    </rPh>
    <phoneticPr fontId="1"/>
  </si>
  <si>
    <t>コメント表</t>
    <rPh sb="4" eb="5">
      <t>ヒョウ</t>
    </rPh>
    <phoneticPr fontId="1"/>
  </si>
  <si>
    <t>ETロボコン</t>
    <phoneticPr fontId="1"/>
  </si>
  <si>
    <t>中尾</t>
    <rPh sb="0" eb="2">
      <t>ナカオ</t>
    </rPh>
    <phoneticPr fontId="1"/>
  </si>
  <si>
    <t>回転数計算</t>
    <rPh sb="0" eb="3">
      <t>カイテンスウ</t>
    </rPh>
    <rPh sb="3" eb="5">
      <t>ケイサン</t>
    </rPh>
    <phoneticPr fontId="1"/>
  </si>
  <si>
    <t>基本設計_回転数計算.xlsx</t>
    <phoneticPr fontId="1"/>
  </si>
  <si>
    <t>HSV値計算</t>
    <rPh sb="3" eb="4">
      <t>アタイ</t>
    </rPh>
    <rPh sb="4" eb="6">
      <t>ケイサン</t>
    </rPh>
    <phoneticPr fontId="1"/>
  </si>
  <si>
    <t>須惠</t>
    <rPh sb="0" eb="2">
      <t>スエ</t>
    </rPh>
    <phoneticPr fontId="1"/>
  </si>
  <si>
    <t>全員</t>
    <rPh sb="0" eb="2">
      <t>ゼンイン</t>
    </rPh>
    <phoneticPr fontId="1"/>
  </si>
  <si>
    <t>基本設計_HSV値計算.xlsx</t>
    <phoneticPr fontId="1"/>
  </si>
  <si>
    <t>戻り値</t>
    <rPh sb="0" eb="1">
      <t>モド</t>
    </rPh>
    <rPh sb="2" eb="3">
      <t>チ</t>
    </rPh>
    <phoneticPr fontId="1"/>
  </si>
  <si>
    <t>変換したHSV値を構造体に格納するように変更し、戻り値をなしにする</t>
    <rPh sb="0" eb="2">
      <t>ヘンカン</t>
    </rPh>
    <rPh sb="7" eb="8">
      <t>チ</t>
    </rPh>
    <rPh sb="9" eb="12">
      <t>コウゾウタイ</t>
    </rPh>
    <rPh sb="13" eb="15">
      <t>カクノウ</t>
    </rPh>
    <rPh sb="20" eb="22">
      <t>ヘンコウ</t>
    </rPh>
    <rPh sb="24" eb="25">
      <t>モド</t>
    </rPh>
    <rPh sb="26" eb="27">
      <t>チ</t>
    </rPh>
    <phoneticPr fontId="1"/>
  </si>
  <si>
    <t>処理概要</t>
    <rPh sb="0" eb="4">
      <t>ショリガイヨウ</t>
    </rPh>
    <phoneticPr fontId="1"/>
  </si>
  <si>
    <t>RGB値取得部分とHSV値格納部分を追記する</t>
    <rPh sb="3" eb="4">
      <t>アタイ</t>
    </rPh>
    <rPh sb="4" eb="6">
      <t>シュトク</t>
    </rPh>
    <rPh sb="6" eb="8">
      <t>ブブン</t>
    </rPh>
    <rPh sb="12" eb="13">
      <t>アタイ</t>
    </rPh>
    <rPh sb="13" eb="17">
      <t>カクノウブブン</t>
    </rPh>
    <rPh sb="18" eb="20">
      <t>ツイキ</t>
    </rPh>
    <phoneticPr fontId="1"/>
  </si>
  <si>
    <t>左記のとおり追記対応しました。</t>
    <rPh sb="0" eb="2">
      <t>サキ</t>
    </rPh>
    <rPh sb="6" eb="8">
      <t>ツイキ</t>
    </rPh>
    <rPh sb="8" eb="10">
      <t>タイオウ</t>
    </rPh>
    <phoneticPr fontId="1"/>
  </si>
  <si>
    <t>左記のとおり修正対応しました。</t>
    <rPh sb="0" eb="2">
      <t>サキ</t>
    </rPh>
    <rPh sb="6" eb="8">
      <t>シュウセイ</t>
    </rPh>
    <rPh sb="8" eb="10">
      <t>タイオウ</t>
    </rPh>
    <phoneticPr fontId="1"/>
  </si>
  <si>
    <t>福島</t>
    <rPh sb="0" eb="2">
      <t>フクシマ</t>
    </rPh>
    <phoneticPr fontId="1"/>
  </si>
  <si>
    <t>ベース値パラメータ渡すように修正すること</t>
    <rPh sb="3" eb="4">
      <t>チ</t>
    </rPh>
    <rPh sb="14" eb="16">
      <t>シュウセイ</t>
    </rPh>
    <phoneticPr fontId="1"/>
  </si>
  <si>
    <t>５）モーターに設定を追記すること</t>
    <rPh sb="10" eb="12">
      <t>ツイキ</t>
    </rPh>
    <phoneticPr fontId="1"/>
  </si>
  <si>
    <t>左記のとおり修正しました。</t>
    <rPh sb="0" eb="2">
      <t>サキ</t>
    </rPh>
    <rPh sb="6" eb="8">
      <t>シュウセイ</t>
    </rPh>
    <phoneticPr fontId="1"/>
  </si>
  <si>
    <t>基本設計_PWM計算</t>
    <phoneticPr fontId="1"/>
  </si>
  <si>
    <t>PWM計算</t>
    <phoneticPr fontId="1"/>
  </si>
  <si>
    <t>再作成する</t>
    <rPh sb="0" eb="3">
      <t>サイサクセイ</t>
    </rPh>
    <phoneticPr fontId="1"/>
  </si>
  <si>
    <t>再作成済み</t>
    <rPh sb="0" eb="3">
      <t>サイサクセイ</t>
    </rPh>
    <rPh sb="3" eb="4">
      <t>ズ</t>
    </rPh>
    <phoneticPr fontId="1"/>
  </si>
  <si>
    <t>回転数は保持ではなく返却するようにすること</t>
    <rPh sb="0" eb="3">
      <t>カイテンスウ</t>
    </rPh>
    <rPh sb="4" eb="6">
      <t>ホジ</t>
    </rPh>
    <rPh sb="10" eb="12">
      <t>ヘンキャク</t>
    </rPh>
    <phoneticPr fontId="1"/>
  </si>
  <si>
    <t>戻り値に回転数を設定するように修正しました。</t>
    <phoneticPr fontId="1"/>
  </si>
  <si>
    <t>引数、戻り値は不要</t>
    <rPh sb="0" eb="2">
      <t>ヒキスウ</t>
    </rPh>
    <phoneticPr fontId="1"/>
  </si>
  <si>
    <t>変数定義の型いらないため、削除すること</t>
    <rPh sb="13" eb="15">
      <t>サクジョ</t>
    </rPh>
    <phoneticPr fontId="1"/>
  </si>
  <si>
    <t>ベース値は左右それぞれ書くこと</t>
    <rPh sb="11" eb="12">
      <t>カ</t>
    </rPh>
    <phoneticPr fontId="1"/>
  </si>
  <si>
    <t>時間取得の処理を追記すること</t>
    <rPh sb="0" eb="4">
      <t>ジカンシュトク</t>
    </rPh>
    <rPh sb="5" eb="7">
      <t>ショリ</t>
    </rPh>
    <rPh sb="8" eb="10">
      <t>ツイキ</t>
    </rPh>
    <phoneticPr fontId="1"/>
  </si>
  <si>
    <t>時間更新の処理を追記すること</t>
    <rPh sb="0" eb="2">
      <t>ジカン</t>
    </rPh>
    <rPh sb="2" eb="4">
      <t>コウシン</t>
    </rPh>
    <phoneticPr fontId="1"/>
  </si>
  <si>
    <t>引数は不要のため、削除すること</t>
    <rPh sb="0" eb="2">
      <t>ヒキスウ</t>
    </rPh>
    <rPh sb="3" eb="5">
      <t>フヨウ</t>
    </rPh>
    <rPh sb="9" eb="11">
      <t>サクジョ</t>
    </rPh>
    <phoneticPr fontId="1"/>
  </si>
  <si>
    <t>左記のとおり修正しました</t>
    <rPh sb="0" eb="2">
      <t>サキ</t>
    </rPh>
    <rPh sb="6" eb="8">
      <t>シュウセイ</t>
    </rPh>
    <phoneticPr fontId="1"/>
  </si>
  <si>
    <t>コメントなし</t>
    <phoneticPr fontId="1"/>
  </si>
  <si>
    <t>角速度と角度の型をfloatに変更すること</t>
    <rPh sb="0" eb="3">
      <t>カクソクド</t>
    </rPh>
    <rPh sb="4" eb="6">
      <t>カクド</t>
    </rPh>
    <rPh sb="7" eb="8">
      <t>カタ</t>
    </rPh>
    <rPh sb="15" eb="17">
      <t>ヘンコウ</t>
    </rPh>
    <phoneticPr fontId="1"/>
  </si>
  <si>
    <t>参考文献のURLを貼る</t>
    <rPh sb="0" eb="4">
      <t>サンコウブンケン</t>
    </rPh>
    <rPh sb="9" eb="10">
      <t>ハ</t>
    </rPh>
    <phoneticPr fontId="1"/>
  </si>
  <si>
    <t>参考文献のURLを記載しました</t>
    <rPh sb="0" eb="4">
      <t>サンコウブンケン</t>
    </rPh>
    <rPh sb="9" eb="11">
      <t>キサイ</t>
    </rPh>
    <phoneticPr fontId="1"/>
  </si>
  <si>
    <t>カラーセンサーから値を取得していることを明記する</t>
    <rPh sb="9" eb="10">
      <t>アタイ</t>
    </rPh>
    <rPh sb="11" eb="13">
      <t>シュトク</t>
    </rPh>
    <rPh sb="20" eb="22">
      <t>メイキ</t>
    </rPh>
    <phoneticPr fontId="1"/>
  </si>
  <si>
    <t>カラーセンサーから値を取得している旨を記載しました</t>
    <rPh sb="9" eb="10">
      <t>アタイ</t>
    </rPh>
    <rPh sb="11" eb="13">
      <t>シュトク</t>
    </rPh>
    <rPh sb="17" eb="18">
      <t>ムネ</t>
    </rPh>
    <rPh sb="19" eb="21">
      <t>キサイ</t>
    </rPh>
    <phoneticPr fontId="1"/>
  </si>
  <si>
    <t>単語の表記を統一させる</t>
    <rPh sb="0" eb="2">
      <t>タンゴ</t>
    </rPh>
    <rPh sb="3" eb="5">
      <t>ヒョウキ</t>
    </rPh>
    <rPh sb="6" eb="8">
      <t>トウイツ</t>
    </rPh>
    <phoneticPr fontId="1"/>
  </si>
  <si>
    <t>測定時間や偏差などの単語の記載を統一させました。</t>
    <rPh sb="0" eb="4">
      <t>ソクテイジカン</t>
    </rPh>
    <rPh sb="5" eb="7">
      <t>ヘンサ</t>
    </rPh>
    <rPh sb="10" eb="12">
      <t>タンゴ</t>
    </rPh>
    <rPh sb="13" eb="15">
      <t>キサイ</t>
    </rPh>
    <rPh sb="16" eb="18">
      <t>トウイツ</t>
    </rPh>
    <phoneticPr fontId="1"/>
  </si>
  <si>
    <t>PID制御の説明を記載する</t>
    <rPh sb="3" eb="5">
      <t>セイギョ</t>
    </rPh>
    <rPh sb="6" eb="8">
      <t>セツメイ</t>
    </rPh>
    <rPh sb="9" eb="11">
      <t>キサイ</t>
    </rPh>
    <phoneticPr fontId="1"/>
  </si>
  <si>
    <t>PID制御についての説明を備考欄に記載しました</t>
    <rPh sb="3" eb="5">
      <t>セイギョ</t>
    </rPh>
    <rPh sb="10" eb="12">
      <t>セツメイ</t>
    </rPh>
    <rPh sb="13" eb="16">
      <t>ビコウラン</t>
    </rPh>
    <rPh sb="17" eb="19">
      <t>キサイ</t>
    </rPh>
    <phoneticPr fontId="1"/>
  </si>
  <si>
    <t>追加で懸念事項などを記載する</t>
    <rPh sb="0" eb="2">
      <t>ツイカ</t>
    </rPh>
    <rPh sb="3" eb="7">
      <t>ケネンジコウ</t>
    </rPh>
    <rPh sb="10" eb="12">
      <t>キサイ</t>
    </rPh>
    <phoneticPr fontId="1"/>
  </si>
  <si>
    <t>懸念事項欄を作成し、懸念事項を記載しました</t>
    <rPh sb="0" eb="4">
      <t>ケネンジコウ</t>
    </rPh>
    <rPh sb="4" eb="5">
      <t>ラン</t>
    </rPh>
    <rPh sb="6" eb="8">
      <t>サクセイ</t>
    </rPh>
    <rPh sb="10" eb="14">
      <t>ケネンジコウ</t>
    </rPh>
    <rPh sb="15" eb="17">
      <t>キサイ</t>
    </rPh>
    <phoneticPr fontId="1"/>
  </si>
  <si>
    <t>調整した際の資料等は残してほしい</t>
    <rPh sb="0" eb="2">
      <t>チョウセイ</t>
    </rPh>
    <rPh sb="4" eb="5">
      <t>サイ</t>
    </rPh>
    <rPh sb="6" eb="9">
      <t>シリョウトウ</t>
    </rPh>
    <rPh sb="10" eb="11">
      <t>ノコ</t>
    </rPh>
    <phoneticPr fontId="1"/>
  </si>
  <si>
    <t>調整値を記載するシートを作成しました</t>
    <rPh sb="0" eb="3">
      <t>チョウセイチ</t>
    </rPh>
    <rPh sb="4" eb="6">
      <t>キサイ</t>
    </rPh>
    <rPh sb="12" eb="14">
      <t>サクセイ</t>
    </rPh>
    <phoneticPr fontId="1"/>
  </si>
  <si>
    <t>モーターの出力について追記する</t>
    <rPh sb="5" eb="7">
      <t>シュツリョク</t>
    </rPh>
    <rPh sb="11" eb="13">
      <t>ツイキ</t>
    </rPh>
    <phoneticPr fontId="1"/>
  </si>
  <si>
    <t>追記しました</t>
    <rPh sb="0" eb="2">
      <t>ツイキ</t>
    </rPh>
    <phoneticPr fontId="1"/>
  </si>
  <si>
    <t>PID制御</t>
    <rPh sb="3" eb="5">
      <t>セイギョ</t>
    </rPh>
    <phoneticPr fontId="1"/>
  </si>
  <si>
    <t>内田</t>
    <rPh sb="0" eb="2">
      <t>ウチダ</t>
    </rPh>
    <phoneticPr fontId="1"/>
  </si>
  <si>
    <t>全員</t>
    <rPh sb="0" eb="2">
      <t>ゼンイン</t>
    </rPh>
    <phoneticPr fontId="1"/>
  </si>
  <si>
    <t>基本設計_PID制御.xlsx</t>
    <rPh sb="0" eb="4">
      <t>キホンセッケイ</t>
    </rPh>
    <rPh sb="8" eb="10">
      <t>セイギョ</t>
    </rPh>
    <phoneticPr fontId="1"/>
  </si>
  <si>
    <t>福島</t>
    <rPh sb="0" eb="2">
      <t>フクシマ</t>
    </rPh>
    <phoneticPr fontId="1"/>
  </si>
  <si>
    <t>福島</t>
    <rPh sb="0" eb="2">
      <t>フクシマ</t>
    </rPh>
    <phoneticPr fontId="1"/>
  </si>
  <si>
    <r>
      <t xml:space="preserve">ベース値は左右設定するように修正しました
→6/24 変数定義にはベースのPWMは一つになっています。（福島）
</t>
    </r>
    <r>
      <rPr>
        <sz val="11"/>
        <color rgb="FFFF0000"/>
        <rFont val="游ゴシック"/>
        <family val="3"/>
        <charset val="128"/>
        <scheme val="minor"/>
      </rPr>
      <t>→修正漏れでした。変数定義に追加しました。</t>
    </r>
    <rPh sb="3" eb="4">
      <t>チ</t>
    </rPh>
    <rPh sb="5" eb="7">
      <t>サユウ</t>
    </rPh>
    <rPh sb="7" eb="9">
      <t>セッテイ</t>
    </rPh>
    <rPh sb="14" eb="16">
      <t>シュウセイ</t>
    </rPh>
    <rPh sb="27" eb="31">
      <t>ヘンスウテイギ</t>
    </rPh>
    <rPh sb="41" eb="42">
      <t>ヒト</t>
    </rPh>
    <rPh sb="52" eb="54">
      <t>フクシマ</t>
    </rPh>
    <rPh sb="58" eb="60">
      <t>シュウセイ</t>
    </rPh>
    <rPh sb="60" eb="61">
      <t>モ</t>
    </rPh>
    <rPh sb="66" eb="70">
      <t>ヘンスウテイギ</t>
    </rPh>
    <rPh sb="71" eb="73">
      <t>ツイカ</t>
    </rPh>
    <phoneticPr fontId="1"/>
  </si>
  <si>
    <r>
      <t xml:space="preserve">左記のとおり修正しました。
→6/24 No3と矛盾していますが、引数無が正しければNo3のコメントは取り下げになりますか。（福島）
</t>
    </r>
    <r>
      <rPr>
        <sz val="11"/>
        <color rgb="FFFF0000"/>
        <rFont val="游ゴシック"/>
        <family val="3"/>
        <charset val="128"/>
        <scheme val="minor"/>
      </rPr>
      <t>→引数なしが正解のため、No3は取り下げます。</t>
    </r>
    <rPh sb="0" eb="2">
      <t>サキ</t>
    </rPh>
    <rPh sb="6" eb="8">
      <t>シュウセイ</t>
    </rPh>
    <rPh sb="24" eb="26">
      <t>ムジュン</t>
    </rPh>
    <rPh sb="33" eb="36">
      <t>ヒキスウナシ</t>
    </rPh>
    <rPh sb="37" eb="38">
      <t>タダ</t>
    </rPh>
    <rPh sb="51" eb="52">
      <t>ト</t>
    </rPh>
    <rPh sb="53" eb="54">
      <t>サ</t>
    </rPh>
    <rPh sb="63" eb="65">
      <t>フクシマ</t>
    </rPh>
    <rPh sb="69" eb="71">
      <t>ヒキスウ</t>
    </rPh>
    <rPh sb="74" eb="76">
      <t>セイカイ</t>
    </rPh>
    <rPh sb="84" eb="85">
      <t>ト</t>
    </rPh>
    <rPh sb="86" eb="87">
      <t>サ</t>
    </rPh>
    <phoneticPr fontId="1"/>
  </si>
  <si>
    <r>
      <t xml:space="preserve">引数に追加しました。
→6/24 引数が「-」になっており、修正が確認できません。（福島）
</t>
    </r>
    <r>
      <rPr>
        <sz val="11"/>
        <color rgb="FFFF0000"/>
        <rFont val="游ゴシック"/>
        <family val="3"/>
        <charset val="128"/>
        <scheme val="minor"/>
      </rPr>
      <t>→コメント誤りのため、取り下げ。</t>
    </r>
    <rPh sb="0" eb="2">
      <t>ヒキスウ</t>
    </rPh>
    <rPh sb="3" eb="5">
      <t>ツイカ</t>
    </rPh>
    <rPh sb="17" eb="19">
      <t>ヒキスウ</t>
    </rPh>
    <rPh sb="30" eb="32">
      <t>シュウセイ</t>
    </rPh>
    <rPh sb="33" eb="35">
      <t>カクニン</t>
    </rPh>
    <rPh sb="42" eb="44">
      <t>フクシマ</t>
    </rPh>
    <rPh sb="52" eb="53">
      <t>アヤマ</t>
    </rPh>
    <rPh sb="58" eb="59">
      <t>ト</t>
    </rPh>
    <rPh sb="60" eb="61">
      <t>サ</t>
    </rPh>
    <phoneticPr fontId="1"/>
  </si>
  <si>
    <t>角度計算</t>
    <rPh sb="0" eb="2">
      <t>カクド</t>
    </rPh>
    <rPh sb="2" eb="4">
      <t>ケイサン</t>
    </rPh>
    <phoneticPr fontId="1"/>
  </si>
  <si>
    <t>距離計算</t>
    <rPh sb="0" eb="2">
      <t>キョリ</t>
    </rPh>
    <rPh sb="2" eb="4">
      <t>ケイサン</t>
    </rPh>
    <phoneticPr fontId="1"/>
  </si>
  <si>
    <t>中尾</t>
    <rPh sb="0" eb="2">
      <t>ナカオ</t>
    </rPh>
    <phoneticPr fontId="1"/>
  </si>
  <si>
    <t>福島、須恵</t>
    <rPh sb="0" eb="2">
      <t>フクシマ</t>
    </rPh>
    <rPh sb="3" eb="5">
      <t>スエ</t>
    </rPh>
    <phoneticPr fontId="1"/>
  </si>
  <si>
    <t>西坂、福島、須恵、山本、内田</t>
    <rPh sb="0" eb="2">
      <t>ニシザカ</t>
    </rPh>
    <rPh sb="3" eb="5">
      <t>フクシマ</t>
    </rPh>
    <rPh sb="6" eb="8">
      <t>スエ</t>
    </rPh>
    <rPh sb="9" eb="11">
      <t>ヤマモト</t>
    </rPh>
    <rPh sb="12" eb="14">
      <t>ウチダ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</si>
</sst>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h&quot;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20" fontId="0" fillId="3" borderId="4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3" borderId="3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14" fontId="0" fillId="5" borderId="1" xfId="0" applyNumberForma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m-uchida\Desktop\&#20316;&#26989;\ET&#12525;&#12508;&#12467;&#12531;&#38306;&#36899;&#36039;&#26009;\etrobo_program\&#22522;&#26412;&#35373;&#35336;\&#12467;&#12513;&#12531;&#12488;&#34920;_PID&#21046;&#244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03FF-73BF-4772-9495-3AB88520CA67}">
  <sheetPr codeName="Sheet1"/>
  <dimension ref="B2:BV21"/>
  <sheetViews>
    <sheetView zoomScaleNormal="100" workbookViewId="0">
      <selection activeCell="R8" sqref="R8:U8"/>
    </sheetView>
  </sheetViews>
  <sheetFormatPr defaultColWidth="3.58203125" defaultRowHeight="18" x14ac:dyDescent="0.55000000000000004"/>
  <cols>
    <col min="1" max="1" width="3.58203125" style="3"/>
    <col min="2" max="2" width="4.25" style="3" bestFit="1" customWidth="1"/>
    <col min="3" max="16384" width="3.58203125" style="3"/>
  </cols>
  <sheetData>
    <row r="2" spans="2:74" x14ac:dyDescent="0.55000000000000004">
      <c r="B2" s="31" t="s">
        <v>78</v>
      </c>
      <c r="C2" s="31"/>
      <c r="D2" s="31"/>
      <c r="E2" s="31"/>
      <c r="F2" s="31"/>
      <c r="G2" s="13" t="s">
        <v>0</v>
      </c>
      <c r="H2" s="14"/>
      <c r="I2" s="14"/>
      <c r="J2" s="14"/>
      <c r="K2" s="15"/>
      <c r="L2" s="19" t="s">
        <v>79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5" t="s">
        <v>2</v>
      </c>
      <c r="AD2" s="25"/>
      <c r="AE2" s="25"/>
      <c r="AF2" s="29">
        <v>45827</v>
      </c>
      <c r="AG2" s="29"/>
      <c r="AH2" s="29"/>
      <c r="AI2" s="29"/>
    </row>
    <row r="3" spans="2:74" x14ac:dyDescent="0.55000000000000004">
      <c r="B3" s="31"/>
      <c r="C3" s="31"/>
      <c r="D3" s="31"/>
      <c r="E3" s="31"/>
      <c r="F3" s="31"/>
      <c r="G3" s="16"/>
      <c r="H3" s="17"/>
      <c r="I3" s="17"/>
      <c r="J3" s="17"/>
      <c r="K3" s="18"/>
      <c r="L3" s="2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25" t="s">
        <v>1</v>
      </c>
      <c r="AD3" s="25"/>
      <c r="AE3" s="25"/>
      <c r="AF3" s="30" t="s">
        <v>80</v>
      </c>
      <c r="AG3" s="30"/>
      <c r="AH3" s="30"/>
      <c r="AI3" s="30"/>
    </row>
    <row r="5" spans="2:74" x14ac:dyDescent="0.55000000000000004">
      <c r="B5" s="25" t="s">
        <v>7</v>
      </c>
      <c r="C5" s="25"/>
      <c r="D5" s="25"/>
      <c r="E5" s="25"/>
      <c r="F5" s="25"/>
      <c r="G5" s="32" t="s">
        <v>81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47" t="s">
        <v>74</v>
      </c>
      <c r="W5" s="25"/>
      <c r="X5" s="25"/>
      <c r="Y5" s="25"/>
      <c r="Z5" s="25"/>
      <c r="AA5" s="43" t="s">
        <v>82</v>
      </c>
      <c r="AB5" s="36"/>
      <c r="AC5" s="36"/>
      <c r="AD5" s="36"/>
      <c r="AE5" s="36"/>
      <c r="AF5" s="36"/>
      <c r="AG5" s="36"/>
      <c r="AH5" s="36"/>
      <c r="AI5" s="36"/>
    </row>
    <row r="6" spans="2:74" x14ac:dyDescent="0.55000000000000004">
      <c r="B6" s="25" t="s">
        <v>8</v>
      </c>
      <c r="C6" s="25"/>
      <c r="D6" s="25"/>
      <c r="E6" s="25"/>
      <c r="F6" s="25"/>
      <c r="G6" s="32" t="s">
        <v>52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25"/>
      <c r="X6" s="25"/>
      <c r="Y6" s="25"/>
      <c r="Z6" s="25"/>
      <c r="AA6" s="36"/>
      <c r="AB6" s="36"/>
      <c r="AC6" s="36"/>
      <c r="AD6" s="36"/>
      <c r="AE6" s="36"/>
      <c r="AF6" s="36"/>
      <c r="AG6" s="36"/>
      <c r="AH6" s="36"/>
      <c r="AI6" s="36"/>
    </row>
    <row r="7" spans="2:74" x14ac:dyDescent="0.55000000000000004">
      <c r="B7" s="25" t="s">
        <v>22</v>
      </c>
      <c r="C7" s="25"/>
      <c r="D7" s="25"/>
      <c r="E7" s="25"/>
      <c r="F7" s="25"/>
      <c r="G7" s="25" t="s">
        <v>5</v>
      </c>
      <c r="H7" s="25"/>
      <c r="I7" s="29">
        <v>45827</v>
      </c>
      <c r="J7" s="29"/>
      <c r="K7" s="29"/>
      <c r="L7" s="29"/>
      <c r="M7" s="25" t="s">
        <v>23</v>
      </c>
      <c r="N7" s="25"/>
      <c r="O7" s="34">
        <v>0.60416666666666663</v>
      </c>
      <c r="P7" s="30"/>
      <c r="Q7" s="35"/>
      <c r="R7" s="4" t="s">
        <v>21</v>
      </c>
      <c r="S7" s="33">
        <v>0.63541666666666663</v>
      </c>
      <c r="T7" s="30"/>
      <c r="U7" s="30"/>
      <c r="V7" s="25"/>
      <c r="W7" s="25"/>
      <c r="X7" s="25"/>
      <c r="Y7" s="25"/>
      <c r="Z7" s="25"/>
      <c r="AA7" s="36"/>
      <c r="AB7" s="36"/>
      <c r="AC7" s="36"/>
      <c r="AD7" s="36"/>
      <c r="AE7" s="36"/>
      <c r="AF7" s="36"/>
      <c r="AG7" s="36"/>
      <c r="AH7" s="36"/>
      <c r="AI7" s="36"/>
    </row>
    <row r="8" spans="2:74" x14ac:dyDescent="0.55000000000000004">
      <c r="B8" s="25" t="s">
        <v>3</v>
      </c>
      <c r="C8" s="25"/>
      <c r="D8" s="25"/>
      <c r="E8" s="25"/>
      <c r="F8" s="25"/>
      <c r="G8" s="32" t="s">
        <v>80</v>
      </c>
      <c r="H8" s="32"/>
      <c r="I8" s="32"/>
      <c r="J8" s="32"/>
      <c r="K8" s="32"/>
      <c r="L8" s="32"/>
      <c r="M8" s="25" t="s">
        <v>4</v>
      </c>
      <c r="N8" s="25"/>
      <c r="O8" s="25"/>
      <c r="P8" s="25"/>
      <c r="Q8" s="25"/>
      <c r="R8" s="32" t="s">
        <v>139</v>
      </c>
      <c r="S8" s="32"/>
      <c r="T8" s="32"/>
      <c r="U8" s="32"/>
      <c r="V8" s="25"/>
      <c r="W8" s="25"/>
      <c r="X8" s="25"/>
      <c r="Y8" s="25"/>
      <c r="Z8" s="25"/>
      <c r="AA8" s="36"/>
      <c r="AB8" s="36"/>
      <c r="AC8" s="36"/>
      <c r="AD8" s="36"/>
      <c r="AE8" s="36"/>
      <c r="AF8" s="36"/>
      <c r="AG8" s="36"/>
      <c r="AH8" s="36"/>
      <c r="AI8" s="36"/>
    </row>
    <row r="9" spans="2:74" x14ac:dyDescent="0.55000000000000004">
      <c r="B9" s="25" t="s">
        <v>20</v>
      </c>
      <c r="C9" s="25"/>
      <c r="D9" s="25"/>
      <c r="E9" s="25"/>
      <c r="F9" s="25"/>
      <c r="G9" s="32">
        <v>6</v>
      </c>
      <c r="H9" s="32"/>
      <c r="I9" s="32"/>
      <c r="J9" s="44" t="s">
        <v>6</v>
      </c>
      <c r="K9" s="45"/>
      <c r="L9" s="46"/>
      <c r="M9" s="26">
        <f>(S7-O7)*24</f>
        <v>0.75</v>
      </c>
      <c r="N9" s="27"/>
      <c r="O9" s="28"/>
      <c r="P9" s="44" t="s">
        <v>60</v>
      </c>
      <c r="Q9" s="45"/>
      <c r="R9" s="46"/>
      <c r="S9" s="26">
        <f>G9*M9</f>
        <v>4.5</v>
      </c>
      <c r="T9" s="27"/>
      <c r="U9" s="28"/>
      <c r="V9" s="25"/>
      <c r="W9" s="25"/>
      <c r="X9" s="25"/>
      <c r="Y9" s="25"/>
      <c r="Z9" s="25"/>
      <c r="AA9" s="36"/>
      <c r="AB9" s="36"/>
      <c r="AC9" s="36"/>
      <c r="AD9" s="36"/>
      <c r="AE9" s="36"/>
      <c r="AF9" s="36"/>
      <c r="AG9" s="36"/>
      <c r="AH9" s="36"/>
      <c r="AI9" s="36"/>
    </row>
    <row r="10" spans="2:74" s="8" customFormat="1" x14ac:dyDescent="0.55000000000000004"/>
    <row r="11" spans="2:74" x14ac:dyDescent="0.55000000000000004">
      <c r="B11" s="1" t="s">
        <v>9</v>
      </c>
      <c r="C11" s="25" t="s">
        <v>77</v>
      </c>
      <c r="D11" s="25"/>
      <c r="E11" s="25"/>
      <c r="F11" s="25"/>
      <c r="G11" s="25"/>
      <c r="H11" s="25" t="s">
        <v>10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24</v>
      </c>
      <c r="AA11" s="25"/>
      <c r="AB11" s="25"/>
      <c r="AC11" s="25"/>
      <c r="AD11" s="25" t="s">
        <v>76</v>
      </c>
      <c r="AE11" s="25"/>
      <c r="AF11" s="25"/>
      <c r="AG11" s="25"/>
      <c r="AH11" s="25" t="s">
        <v>25</v>
      </c>
      <c r="AI11" s="25"/>
      <c r="AJ11" s="25"/>
      <c r="AK11" s="25"/>
      <c r="AL11" s="25" t="s">
        <v>11</v>
      </c>
      <c r="AM11" s="25"/>
      <c r="AN11" s="25"/>
      <c r="AO11" s="25"/>
      <c r="AP11" s="25" t="s">
        <v>12</v>
      </c>
      <c r="AQ11" s="25"/>
      <c r="AR11" s="25" t="s">
        <v>17</v>
      </c>
      <c r="AS11" s="25"/>
      <c r="AT11" s="25" t="s">
        <v>13</v>
      </c>
      <c r="AU11" s="25"/>
      <c r="AV11" s="25"/>
      <c r="AW11" s="25" t="s">
        <v>14</v>
      </c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73</v>
      </c>
      <c r="BO11" s="25"/>
      <c r="BP11" s="25"/>
      <c r="BQ11" s="25" t="s">
        <v>15</v>
      </c>
      <c r="BR11" s="25"/>
      <c r="BS11" s="25"/>
      <c r="BT11" s="25" t="s">
        <v>16</v>
      </c>
      <c r="BU11" s="25"/>
      <c r="BV11" s="25"/>
    </row>
    <row r="12" spans="2:74" ht="36" customHeight="1" x14ac:dyDescent="0.55000000000000004">
      <c r="B12" s="2">
        <v>1</v>
      </c>
      <c r="C12" s="39"/>
      <c r="D12" s="40"/>
      <c r="E12" s="40"/>
      <c r="F12" s="40"/>
      <c r="G12" s="41"/>
      <c r="H12" s="42" t="s">
        <v>99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37" t="s">
        <v>26</v>
      </c>
      <c r="AA12" s="37"/>
      <c r="AB12" s="37"/>
      <c r="AC12" s="37"/>
      <c r="AD12" s="37"/>
      <c r="AE12" s="37"/>
      <c r="AF12" s="37"/>
      <c r="AG12" s="37"/>
      <c r="AH12" s="37" t="s">
        <v>35</v>
      </c>
      <c r="AI12" s="37"/>
      <c r="AJ12" s="37"/>
      <c r="AK12" s="37"/>
      <c r="AL12" s="37" t="s">
        <v>52</v>
      </c>
      <c r="AM12" s="37"/>
      <c r="AN12" s="37"/>
      <c r="AO12" s="37"/>
      <c r="AP12" s="37" t="s">
        <v>61</v>
      </c>
      <c r="AQ12" s="37"/>
      <c r="AR12" s="37"/>
      <c r="AS12" s="37"/>
      <c r="AT12" s="37" t="s">
        <v>65</v>
      </c>
      <c r="AU12" s="37"/>
      <c r="AV12" s="37"/>
      <c r="AW12" s="36" t="s">
        <v>100</v>
      </c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7"/>
      <c r="BO12" s="37"/>
      <c r="BP12" s="37"/>
      <c r="BQ12" s="37"/>
      <c r="BR12" s="37"/>
      <c r="BS12" s="37"/>
      <c r="BT12" s="38"/>
      <c r="BU12" s="37"/>
      <c r="BV12" s="37"/>
    </row>
    <row r="13" spans="2:74" ht="36" customHeight="1" x14ac:dyDescent="0.55000000000000004">
      <c r="B13" s="2">
        <v>2</v>
      </c>
      <c r="C13" s="39"/>
      <c r="D13" s="40"/>
      <c r="E13" s="40"/>
      <c r="F13" s="40"/>
      <c r="G13" s="41"/>
      <c r="H13" s="42" t="s">
        <v>101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 t="s">
        <v>65</v>
      </c>
      <c r="AU13" s="37"/>
      <c r="AV13" s="37"/>
      <c r="AW13" s="36" t="s">
        <v>102</v>
      </c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 t="s">
        <v>72</v>
      </c>
      <c r="BO13" s="37"/>
      <c r="BP13" s="37"/>
      <c r="BQ13" s="37" t="s">
        <v>130</v>
      </c>
      <c r="BR13" s="37"/>
      <c r="BS13" s="37"/>
      <c r="BT13" s="38">
        <v>45832</v>
      </c>
      <c r="BU13" s="37"/>
      <c r="BV13" s="37"/>
    </row>
    <row r="14" spans="2:74" ht="36" customHeight="1" x14ac:dyDescent="0.55000000000000004">
      <c r="B14" s="2">
        <v>3</v>
      </c>
      <c r="C14" s="36"/>
      <c r="D14" s="36"/>
      <c r="E14" s="36"/>
      <c r="F14" s="36"/>
      <c r="G14" s="36"/>
      <c r="H14" s="43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7"/>
      <c r="BO14" s="37"/>
      <c r="BP14" s="37"/>
      <c r="BQ14" s="37"/>
      <c r="BR14" s="37"/>
      <c r="BS14" s="37"/>
      <c r="BT14" s="38"/>
      <c r="BU14" s="37"/>
      <c r="BV14" s="37"/>
    </row>
    <row r="15" spans="2:74" ht="36" customHeight="1" x14ac:dyDescent="0.55000000000000004">
      <c r="B15" s="2">
        <v>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/>
      <c r="BO15" s="37"/>
      <c r="BP15" s="37"/>
      <c r="BQ15" s="37"/>
      <c r="BR15" s="37"/>
      <c r="BS15" s="37"/>
      <c r="BT15" s="38"/>
      <c r="BU15" s="37"/>
      <c r="BV15" s="37"/>
    </row>
    <row r="16" spans="2:74" ht="36" customHeight="1" x14ac:dyDescent="0.55000000000000004">
      <c r="B16" s="2">
        <v>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/>
      <c r="BO16" s="37"/>
      <c r="BP16" s="37"/>
      <c r="BQ16" s="37"/>
      <c r="BR16" s="37"/>
      <c r="BS16" s="37"/>
      <c r="BT16" s="38"/>
      <c r="BU16" s="37"/>
      <c r="BV16" s="37"/>
    </row>
    <row r="17" spans="2:74" ht="36" customHeight="1" x14ac:dyDescent="0.55000000000000004">
      <c r="B17" s="2">
        <v>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  <c r="BO17" s="37"/>
      <c r="BP17" s="37"/>
      <c r="BQ17" s="37"/>
      <c r="BR17" s="37"/>
      <c r="BS17" s="37"/>
      <c r="BT17" s="38"/>
      <c r="BU17" s="37"/>
      <c r="BV17" s="37"/>
    </row>
    <row r="18" spans="2:74" ht="36" customHeight="1" x14ac:dyDescent="0.55000000000000004">
      <c r="B18" s="2">
        <v>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  <c r="BO18" s="37"/>
      <c r="BP18" s="37"/>
      <c r="BQ18" s="37"/>
      <c r="BR18" s="37"/>
      <c r="BS18" s="37"/>
      <c r="BT18" s="38"/>
      <c r="BU18" s="37"/>
      <c r="BV18" s="37"/>
    </row>
    <row r="19" spans="2:74" ht="36" customHeight="1" x14ac:dyDescent="0.55000000000000004">
      <c r="B19" s="2">
        <v>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  <c r="BO19" s="37"/>
      <c r="BP19" s="37"/>
      <c r="BQ19" s="37"/>
      <c r="BR19" s="37"/>
      <c r="BS19" s="37"/>
      <c r="BT19" s="38"/>
      <c r="BU19" s="37"/>
      <c r="BV19" s="37"/>
    </row>
    <row r="20" spans="2:74" ht="36" customHeight="1" x14ac:dyDescent="0.55000000000000004">
      <c r="B20" s="2">
        <v>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  <c r="BO20" s="37"/>
      <c r="BP20" s="37"/>
      <c r="BQ20" s="37"/>
      <c r="BR20" s="37"/>
      <c r="BS20" s="37"/>
      <c r="BT20" s="38"/>
      <c r="BU20" s="37"/>
      <c r="BV20" s="37"/>
    </row>
    <row r="21" spans="2:74" ht="36" customHeight="1" x14ac:dyDescent="0.55000000000000004">
      <c r="B21" s="2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  <c r="BO21" s="37"/>
      <c r="BP21" s="37"/>
      <c r="BQ21" s="37"/>
      <c r="BR21" s="37"/>
      <c r="BS21" s="37"/>
      <c r="BT21" s="38"/>
      <c r="BU21" s="37"/>
      <c r="BV21" s="37"/>
    </row>
  </sheetData>
  <mergeCells count="172"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BT15:BV15"/>
    <mergeCell ref="C16:G16"/>
    <mergeCell ref="H16:Y16"/>
    <mergeCell ref="Z16:AC16"/>
    <mergeCell ref="AD16:AG16"/>
    <mergeCell ref="AH16:AK16"/>
    <mergeCell ref="AL16:AO16"/>
    <mergeCell ref="AP16:AQ16"/>
    <mergeCell ref="AR16:AS16"/>
    <mergeCell ref="AT16:AV16"/>
    <mergeCell ref="AP15:AQ15"/>
    <mergeCell ref="AR15:AS15"/>
    <mergeCell ref="AT15:AV15"/>
    <mergeCell ref="AW15:BM15"/>
    <mergeCell ref="BN15:BP15"/>
    <mergeCell ref="BQ15:BS15"/>
    <mergeCell ref="C15:G15"/>
    <mergeCell ref="H15:Y15"/>
    <mergeCell ref="Z15:AC15"/>
    <mergeCell ref="AD15:AG15"/>
    <mergeCell ref="AH15:AK15"/>
    <mergeCell ref="AL15:AO15"/>
    <mergeCell ref="AW16:BM16"/>
    <mergeCell ref="BN16:BP16"/>
    <mergeCell ref="AW14:BM14"/>
    <mergeCell ref="BN14:BP14"/>
    <mergeCell ref="BQ14:BS14"/>
    <mergeCell ref="BT14:BV14"/>
    <mergeCell ref="BN13:BP13"/>
    <mergeCell ref="BQ13:BS13"/>
    <mergeCell ref="BT13:BV13"/>
    <mergeCell ref="AR13:AS13"/>
    <mergeCell ref="AT13:AV13"/>
    <mergeCell ref="AW13:BM13"/>
    <mergeCell ref="C13:G13"/>
    <mergeCell ref="H13:Y13"/>
    <mergeCell ref="Z13:AC13"/>
    <mergeCell ref="AD13:AG13"/>
    <mergeCell ref="AR12:AS12"/>
    <mergeCell ref="AT12:AV12"/>
    <mergeCell ref="AA5:AI9"/>
    <mergeCell ref="C14:G14"/>
    <mergeCell ref="H14:Y14"/>
    <mergeCell ref="Z14:AC14"/>
    <mergeCell ref="AD14:AG14"/>
    <mergeCell ref="AH14:AK14"/>
    <mergeCell ref="AL14:AO14"/>
    <mergeCell ref="AP14:AQ14"/>
    <mergeCell ref="AH13:AK13"/>
    <mergeCell ref="AL13:AO13"/>
    <mergeCell ref="AP13:AQ13"/>
    <mergeCell ref="AR14:AS14"/>
    <mergeCell ref="AT14:AV14"/>
    <mergeCell ref="J9:L9"/>
    <mergeCell ref="P9:R9"/>
    <mergeCell ref="G9:I9"/>
    <mergeCell ref="B9:F9"/>
    <mergeCell ref="V5:Z9"/>
    <mergeCell ref="C12:G12"/>
    <mergeCell ref="H12:Y12"/>
    <mergeCell ref="Z12:AC12"/>
    <mergeCell ref="AH12:AK12"/>
    <mergeCell ref="AL12:AO12"/>
    <mergeCell ref="AP12:AQ12"/>
    <mergeCell ref="Z11:AC11"/>
    <mergeCell ref="AP11:AQ11"/>
    <mergeCell ref="AR11:AS11"/>
    <mergeCell ref="AH11:AK11"/>
    <mergeCell ref="AL11:AO11"/>
    <mergeCell ref="AD11:AG11"/>
    <mergeCell ref="AD12:AG12"/>
    <mergeCell ref="C11:G11"/>
    <mergeCell ref="H11:Y11"/>
    <mergeCell ref="AW12:BM12"/>
    <mergeCell ref="BN12:BP12"/>
    <mergeCell ref="BQ12:BS12"/>
    <mergeCell ref="BT12:BV12"/>
    <mergeCell ref="AW11:BM11"/>
    <mergeCell ref="BN11:BP11"/>
    <mergeCell ref="BQ11:BS11"/>
    <mergeCell ref="BT11:BV11"/>
    <mergeCell ref="AT11:AV11"/>
    <mergeCell ref="G2:K3"/>
    <mergeCell ref="L2:AB3"/>
    <mergeCell ref="B7:F7"/>
    <mergeCell ref="M9:O9"/>
    <mergeCell ref="AF2:AI2"/>
    <mergeCell ref="AF3:AI3"/>
    <mergeCell ref="B8:F8"/>
    <mergeCell ref="B5:F5"/>
    <mergeCell ref="B6:F6"/>
    <mergeCell ref="B2:F3"/>
    <mergeCell ref="AC2:AE2"/>
    <mergeCell ref="AC3:AE3"/>
    <mergeCell ref="M8:Q8"/>
    <mergeCell ref="R8:U8"/>
    <mergeCell ref="S9:U9"/>
    <mergeCell ref="G8:L8"/>
    <mergeCell ref="S7:U7"/>
    <mergeCell ref="G5:U5"/>
    <mergeCell ref="G6:U6"/>
    <mergeCell ref="G7:H7"/>
    <mergeCell ref="I7:L7"/>
    <mergeCell ref="M7:N7"/>
    <mergeCell ref="O7:Q7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756864C2-A8A7-4F1D-832A-414010744DD9}">
          <x14:formula1>
            <xm:f>setting!$B$3:$B$11</xm:f>
          </x14:formula1>
          <xm:sqref>G6:U6</xm:sqref>
        </x14:dataValidation>
        <x14:dataValidation type="list" allowBlank="1" showInputMessage="1" showErrorMessage="1" xr:uid="{C4A729E4-AC45-45C0-B161-B7258724A92F}">
          <x14:formula1>
            <xm:f>setting!$C$3:$C$9</xm:f>
          </x14:formula1>
          <xm:sqref>Z12:AC21</xm:sqref>
        </x14:dataValidation>
        <x14:dataValidation type="list" allowBlank="1" showInputMessage="1" showErrorMessage="1" xr:uid="{CFD09260-8B5D-4B49-8A2F-68408EA27F68}">
          <x14:formula1>
            <xm:f>setting!$D$3:$D$14</xm:f>
          </x14:formula1>
          <xm:sqref>AD12:AG21</xm:sqref>
        </x14:dataValidation>
        <x14:dataValidation type="list" allowBlank="1" showInputMessage="1" showErrorMessage="1" xr:uid="{EBEE3402-3198-4B92-A162-EB4EBE7C9AC7}">
          <x14:formula1>
            <xm:f>setting!$E$3:$E$11</xm:f>
          </x14:formula1>
          <xm:sqref>AH12:AK21</xm:sqref>
        </x14:dataValidation>
        <x14:dataValidation type="list" allowBlank="1" showInputMessage="1" showErrorMessage="1" xr:uid="{85FAEF01-DFC7-43B1-99D1-027B65B3032E}">
          <x14:formula1>
            <xm:f>setting!$G$3:$G$5</xm:f>
          </x14:formula1>
          <xm:sqref>AP12:AQ21</xm:sqref>
        </x14:dataValidation>
        <x14:dataValidation type="list" allowBlank="1" showInputMessage="1" showErrorMessage="1" xr:uid="{85B9C7D8-8ED3-4E96-B0A4-A5A6FA5EF101}">
          <x14:formula1>
            <xm:f>setting!$H$3</xm:f>
          </x14:formula1>
          <xm:sqref>AR12:AS21</xm:sqref>
        </x14:dataValidation>
        <x14:dataValidation type="list" allowBlank="1" showInputMessage="1" showErrorMessage="1" xr:uid="{46DD247B-F111-4A6F-9ECC-17BA523C086D}">
          <x14:formula1>
            <xm:f>setting!$I$3:$I$5</xm:f>
          </x14:formula1>
          <xm:sqref>AT12:AV21</xm:sqref>
        </x14:dataValidation>
        <x14:dataValidation type="list" allowBlank="1" showInputMessage="1" showErrorMessage="1" xr:uid="{C3449E28-2D3D-4155-A6FA-3156F97616BB}">
          <x14:formula1>
            <xm:f>setting!$J$3:$J$7</xm:f>
          </x14:formula1>
          <xm:sqref>BN12:BP21</xm:sqref>
        </x14:dataValidation>
        <x14:dataValidation type="list" allowBlank="1" showInputMessage="1" showErrorMessage="1" xr:uid="{C347E26B-3234-4B25-AB49-9BC914D96C19}">
          <x14:formula1>
            <xm:f>setting!$F$3:$F$11</xm:f>
          </x14:formula1>
          <xm:sqref>AL12:AO21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6776-F4B8-49D2-BD06-A5F79F22A5D4}">
  <dimension ref="B2:BV21"/>
  <sheetViews>
    <sheetView tabSelected="1" zoomScale="85" zoomScaleNormal="85" workbookViewId="0"/>
  </sheetViews>
  <sheetFormatPr defaultColWidth="3.58203125" defaultRowHeight="18" x14ac:dyDescent="0.55000000000000004"/>
  <cols>
    <col min="1" max="1" width="3.58203125" style="3"/>
    <col min="2" max="2" width="4.25" style="3" bestFit="1" customWidth="1"/>
    <col min="3" max="16384" width="3.58203125" style="3"/>
  </cols>
  <sheetData>
    <row r="2" spans="2:74" x14ac:dyDescent="0.55000000000000004">
      <c r="B2" s="31" t="s">
        <v>78</v>
      </c>
      <c r="C2" s="31"/>
      <c r="D2" s="31"/>
      <c r="E2" s="31"/>
      <c r="F2" s="31"/>
      <c r="G2" s="13" t="s">
        <v>0</v>
      </c>
      <c r="H2" s="14"/>
      <c r="I2" s="14"/>
      <c r="J2" s="14"/>
      <c r="K2" s="15"/>
      <c r="L2" s="19" t="s">
        <v>79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5" t="s">
        <v>2</v>
      </c>
      <c r="AD2" s="25"/>
      <c r="AE2" s="25"/>
      <c r="AF2" s="29"/>
      <c r="AG2" s="29"/>
      <c r="AH2" s="29"/>
      <c r="AI2" s="29"/>
    </row>
    <row r="3" spans="2:74" x14ac:dyDescent="0.55000000000000004">
      <c r="B3" s="31"/>
      <c r="C3" s="31"/>
      <c r="D3" s="31"/>
      <c r="E3" s="31"/>
      <c r="F3" s="31"/>
      <c r="G3" s="16"/>
      <c r="H3" s="17"/>
      <c r="I3" s="17"/>
      <c r="J3" s="17"/>
      <c r="K3" s="18"/>
      <c r="L3" s="2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25" t="s">
        <v>1</v>
      </c>
      <c r="AD3" s="25"/>
      <c r="AE3" s="25"/>
      <c r="AF3" s="30"/>
      <c r="AG3" s="30"/>
      <c r="AH3" s="30"/>
      <c r="AI3" s="30"/>
    </row>
    <row r="5" spans="2:74" x14ac:dyDescent="0.55000000000000004">
      <c r="B5" s="25" t="s">
        <v>7</v>
      </c>
      <c r="C5" s="25"/>
      <c r="D5" s="25"/>
      <c r="E5" s="25"/>
      <c r="F5" s="25"/>
      <c r="G5" s="32" t="s">
        <v>98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47" t="s">
        <v>74</v>
      </c>
      <c r="W5" s="25"/>
      <c r="X5" s="25"/>
      <c r="Y5" s="25"/>
      <c r="Z5" s="25"/>
      <c r="AA5" s="43" t="s">
        <v>97</v>
      </c>
      <c r="AB5" s="36"/>
      <c r="AC5" s="36"/>
      <c r="AD5" s="36"/>
      <c r="AE5" s="36"/>
      <c r="AF5" s="36"/>
      <c r="AG5" s="36"/>
      <c r="AH5" s="36"/>
      <c r="AI5" s="36"/>
    </row>
    <row r="6" spans="2:74" x14ac:dyDescent="0.55000000000000004">
      <c r="B6" s="25" t="s">
        <v>8</v>
      </c>
      <c r="C6" s="25"/>
      <c r="D6" s="25"/>
      <c r="E6" s="25"/>
      <c r="F6" s="25"/>
      <c r="G6" s="32" t="s">
        <v>52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25"/>
      <c r="X6" s="25"/>
      <c r="Y6" s="25"/>
      <c r="Z6" s="25"/>
      <c r="AA6" s="36"/>
      <c r="AB6" s="36"/>
      <c r="AC6" s="36"/>
      <c r="AD6" s="36"/>
      <c r="AE6" s="36"/>
      <c r="AF6" s="36"/>
      <c r="AG6" s="36"/>
      <c r="AH6" s="36"/>
      <c r="AI6" s="36"/>
    </row>
    <row r="7" spans="2:74" x14ac:dyDescent="0.55000000000000004">
      <c r="B7" s="25" t="s">
        <v>22</v>
      </c>
      <c r="C7" s="25"/>
      <c r="D7" s="25"/>
      <c r="E7" s="25"/>
      <c r="F7" s="25"/>
      <c r="G7" s="25" t="s">
        <v>5</v>
      </c>
      <c r="H7" s="25"/>
      <c r="I7" s="29">
        <v>45827</v>
      </c>
      <c r="J7" s="29"/>
      <c r="K7" s="29"/>
      <c r="L7" s="29"/>
      <c r="M7" s="25" t="s">
        <v>23</v>
      </c>
      <c r="N7" s="25"/>
      <c r="O7" s="34">
        <v>0.63541666666666663</v>
      </c>
      <c r="P7" s="30"/>
      <c r="Q7" s="35"/>
      <c r="R7" s="4" t="s">
        <v>21</v>
      </c>
      <c r="S7" s="33">
        <v>0.65277777777777779</v>
      </c>
      <c r="T7" s="30"/>
      <c r="U7" s="30"/>
      <c r="V7" s="25"/>
      <c r="W7" s="25"/>
      <c r="X7" s="25"/>
      <c r="Y7" s="25"/>
      <c r="Z7" s="25"/>
      <c r="AA7" s="36"/>
      <c r="AB7" s="36"/>
      <c r="AC7" s="36"/>
      <c r="AD7" s="36"/>
      <c r="AE7" s="36"/>
      <c r="AF7" s="36"/>
      <c r="AG7" s="36"/>
      <c r="AH7" s="36"/>
      <c r="AI7" s="36"/>
    </row>
    <row r="8" spans="2:74" x14ac:dyDescent="0.55000000000000004">
      <c r="B8" s="25" t="s">
        <v>3</v>
      </c>
      <c r="C8" s="25"/>
      <c r="D8" s="25"/>
      <c r="E8" s="25"/>
      <c r="F8" s="25"/>
      <c r="G8" s="32" t="s">
        <v>137</v>
      </c>
      <c r="H8" s="32"/>
      <c r="I8" s="32"/>
      <c r="J8" s="32"/>
      <c r="K8" s="32"/>
      <c r="L8" s="32"/>
      <c r="M8" s="25" t="s">
        <v>4</v>
      </c>
      <c r="N8" s="25"/>
      <c r="O8" s="25"/>
      <c r="P8" s="25"/>
      <c r="Q8" s="25"/>
      <c r="R8" s="32" t="s">
        <v>139</v>
      </c>
      <c r="S8" s="32"/>
      <c r="T8" s="32"/>
      <c r="U8" s="32"/>
      <c r="V8" s="25"/>
      <c r="W8" s="25"/>
      <c r="X8" s="25"/>
      <c r="Y8" s="25"/>
      <c r="Z8" s="25"/>
      <c r="AA8" s="36"/>
      <c r="AB8" s="36"/>
      <c r="AC8" s="36"/>
      <c r="AD8" s="36"/>
      <c r="AE8" s="36"/>
      <c r="AF8" s="36"/>
      <c r="AG8" s="36"/>
      <c r="AH8" s="36"/>
      <c r="AI8" s="36"/>
    </row>
    <row r="9" spans="2:74" x14ac:dyDescent="0.55000000000000004">
      <c r="B9" s="25" t="s">
        <v>20</v>
      </c>
      <c r="C9" s="25"/>
      <c r="D9" s="25"/>
      <c r="E9" s="25"/>
      <c r="F9" s="25"/>
      <c r="G9" s="32">
        <v>6</v>
      </c>
      <c r="H9" s="32"/>
      <c r="I9" s="32"/>
      <c r="J9" s="44" t="s">
        <v>6</v>
      </c>
      <c r="K9" s="45"/>
      <c r="L9" s="46"/>
      <c r="M9" s="26">
        <f>(S7-O7)*24</f>
        <v>0.41666666666666785</v>
      </c>
      <c r="N9" s="27"/>
      <c r="O9" s="28"/>
      <c r="P9" s="44" t="s">
        <v>60</v>
      </c>
      <c r="Q9" s="45"/>
      <c r="R9" s="46"/>
      <c r="S9" s="26">
        <f>G9*M9</f>
        <v>2.5000000000000071</v>
      </c>
      <c r="T9" s="27"/>
      <c r="U9" s="28"/>
      <c r="V9" s="25"/>
      <c r="W9" s="25"/>
      <c r="X9" s="25"/>
      <c r="Y9" s="25"/>
      <c r="Z9" s="25"/>
      <c r="AA9" s="36"/>
      <c r="AB9" s="36"/>
      <c r="AC9" s="36"/>
      <c r="AD9" s="36"/>
      <c r="AE9" s="36"/>
      <c r="AF9" s="36"/>
      <c r="AG9" s="36"/>
      <c r="AH9" s="36"/>
      <c r="AI9" s="36"/>
    </row>
    <row r="10" spans="2:74" s="8" customFormat="1" x14ac:dyDescent="0.55000000000000004"/>
    <row r="11" spans="2:74" x14ac:dyDescent="0.55000000000000004">
      <c r="B11" s="9" t="s">
        <v>9</v>
      </c>
      <c r="C11" s="25" t="s">
        <v>77</v>
      </c>
      <c r="D11" s="25"/>
      <c r="E11" s="25"/>
      <c r="F11" s="25"/>
      <c r="G11" s="25"/>
      <c r="H11" s="25" t="s">
        <v>10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24</v>
      </c>
      <c r="AA11" s="25"/>
      <c r="AB11" s="25"/>
      <c r="AC11" s="25"/>
      <c r="AD11" s="25" t="s">
        <v>76</v>
      </c>
      <c r="AE11" s="25"/>
      <c r="AF11" s="25"/>
      <c r="AG11" s="25"/>
      <c r="AH11" s="25" t="s">
        <v>25</v>
      </c>
      <c r="AI11" s="25"/>
      <c r="AJ11" s="25"/>
      <c r="AK11" s="25"/>
      <c r="AL11" s="25" t="s">
        <v>11</v>
      </c>
      <c r="AM11" s="25"/>
      <c r="AN11" s="25"/>
      <c r="AO11" s="25"/>
      <c r="AP11" s="25" t="s">
        <v>12</v>
      </c>
      <c r="AQ11" s="25"/>
      <c r="AR11" s="25" t="s">
        <v>17</v>
      </c>
      <c r="AS11" s="25"/>
      <c r="AT11" s="25" t="s">
        <v>13</v>
      </c>
      <c r="AU11" s="25"/>
      <c r="AV11" s="25"/>
      <c r="AW11" s="25" t="s">
        <v>14</v>
      </c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73</v>
      </c>
      <c r="BO11" s="25"/>
      <c r="BP11" s="25"/>
      <c r="BQ11" s="25" t="s">
        <v>15</v>
      </c>
      <c r="BR11" s="25"/>
      <c r="BS11" s="25"/>
      <c r="BT11" s="25" t="s">
        <v>16</v>
      </c>
      <c r="BU11" s="25"/>
      <c r="BV11" s="25"/>
    </row>
    <row r="12" spans="2:74" ht="36" customHeight="1" x14ac:dyDescent="0.55000000000000004">
      <c r="B12" s="10">
        <v>1</v>
      </c>
      <c r="C12" s="39"/>
      <c r="D12" s="40"/>
      <c r="E12" s="40"/>
      <c r="F12" s="40"/>
      <c r="G12" s="41"/>
      <c r="H12" s="39" t="s">
        <v>104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 t="s">
        <v>65</v>
      </c>
      <c r="AU12" s="37"/>
      <c r="AV12" s="37"/>
      <c r="AW12" s="36" t="s">
        <v>96</v>
      </c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7" t="s">
        <v>72</v>
      </c>
      <c r="BO12" s="37"/>
      <c r="BP12" s="37"/>
      <c r="BQ12" s="38" t="s">
        <v>131</v>
      </c>
      <c r="BR12" s="37"/>
      <c r="BS12" s="37"/>
      <c r="BT12" s="38">
        <v>45832</v>
      </c>
      <c r="BU12" s="37"/>
      <c r="BV12" s="37"/>
    </row>
    <row r="13" spans="2:74" ht="77.25" customHeight="1" x14ac:dyDescent="0.55000000000000004">
      <c r="B13" s="10">
        <v>2</v>
      </c>
      <c r="C13" s="39"/>
      <c r="D13" s="40"/>
      <c r="E13" s="40"/>
      <c r="F13" s="40"/>
      <c r="G13" s="41"/>
      <c r="H13" s="39" t="s">
        <v>105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 t="s">
        <v>65</v>
      </c>
      <c r="AU13" s="37"/>
      <c r="AV13" s="37"/>
      <c r="AW13" s="43" t="s">
        <v>132</v>
      </c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 t="s">
        <v>72</v>
      </c>
      <c r="BO13" s="37"/>
      <c r="BP13" s="37"/>
      <c r="BQ13" s="38" t="s">
        <v>93</v>
      </c>
      <c r="BR13" s="37"/>
      <c r="BS13" s="37"/>
      <c r="BT13" s="38">
        <v>45832</v>
      </c>
      <c r="BU13" s="37"/>
      <c r="BV13" s="37"/>
    </row>
    <row r="14" spans="2:74" ht="81.75" customHeight="1" x14ac:dyDescent="0.55000000000000004">
      <c r="B14" s="10">
        <v>3</v>
      </c>
      <c r="C14" s="52"/>
      <c r="D14" s="52"/>
      <c r="E14" s="52"/>
      <c r="F14" s="52"/>
      <c r="G14" s="52"/>
      <c r="H14" s="52" t="s">
        <v>94</v>
      </c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9" t="s">
        <v>66</v>
      </c>
      <c r="AU14" s="50"/>
      <c r="AV14" s="50"/>
      <c r="AW14" s="51" t="s">
        <v>134</v>
      </c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48"/>
      <c r="BO14" s="48"/>
      <c r="BP14" s="48"/>
      <c r="BQ14" s="48"/>
      <c r="BR14" s="48"/>
      <c r="BS14" s="48"/>
      <c r="BT14" s="53"/>
      <c r="BU14" s="48"/>
      <c r="BV14" s="48"/>
    </row>
    <row r="15" spans="2:74" ht="36" customHeight="1" x14ac:dyDescent="0.55000000000000004">
      <c r="B15" s="10">
        <v>4</v>
      </c>
      <c r="C15" s="36"/>
      <c r="D15" s="36"/>
      <c r="E15" s="36"/>
      <c r="F15" s="36"/>
      <c r="G15" s="36"/>
      <c r="H15" s="36" t="s">
        <v>95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 t="s">
        <v>65</v>
      </c>
      <c r="AU15" s="37"/>
      <c r="AV15" s="37"/>
      <c r="AW15" s="36" t="s">
        <v>96</v>
      </c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 t="s">
        <v>72</v>
      </c>
      <c r="BO15" s="37"/>
      <c r="BP15" s="37"/>
      <c r="BQ15" s="38" t="s">
        <v>131</v>
      </c>
      <c r="BR15" s="37"/>
      <c r="BS15" s="37"/>
      <c r="BT15" s="38">
        <v>45832</v>
      </c>
      <c r="BU15" s="37"/>
      <c r="BV15" s="37"/>
    </row>
    <row r="16" spans="2:74" ht="93.75" customHeight="1" x14ac:dyDescent="0.55000000000000004">
      <c r="B16" s="10">
        <v>5</v>
      </c>
      <c r="C16" s="36"/>
      <c r="D16" s="36"/>
      <c r="E16" s="36"/>
      <c r="F16" s="36"/>
      <c r="G16" s="36"/>
      <c r="H16" s="36" t="s">
        <v>103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 t="s">
        <v>65</v>
      </c>
      <c r="AU16" s="37"/>
      <c r="AV16" s="37"/>
      <c r="AW16" s="43" t="s">
        <v>133</v>
      </c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 t="s">
        <v>72</v>
      </c>
      <c r="BO16" s="37"/>
      <c r="BP16" s="37"/>
      <c r="BQ16" s="38" t="s">
        <v>93</v>
      </c>
      <c r="BR16" s="37"/>
      <c r="BS16" s="37"/>
      <c r="BT16" s="38">
        <v>45832</v>
      </c>
      <c r="BU16" s="37"/>
      <c r="BV16" s="37"/>
    </row>
    <row r="17" spans="2:74" ht="36" customHeight="1" x14ac:dyDescent="0.55000000000000004">
      <c r="B17" s="10">
        <v>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  <c r="BO17" s="37"/>
      <c r="BP17" s="37"/>
      <c r="BQ17" s="37"/>
      <c r="BR17" s="37"/>
      <c r="BS17" s="37"/>
      <c r="BT17" s="38"/>
      <c r="BU17" s="37"/>
      <c r="BV17" s="37"/>
    </row>
    <row r="18" spans="2:74" ht="36" customHeight="1" x14ac:dyDescent="0.55000000000000004">
      <c r="B18" s="10">
        <v>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  <c r="BO18" s="37"/>
      <c r="BP18" s="37"/>
      <c r="BQ18" s="37"/>
      <c r="BR18" s="37"/>
      <c r="BS18" s="37"/>
      <c r="BT18" s="38"/>
      <c r="BU18" s="37"/>
      <c r="BV18" s="37"/>
    </row>
    <row r="19" spans="2:74" ht="36" customHeight="1" x14ac:dyDescent="0.55000000000000004">
      <c r="B19" s="10">
        <v>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  <c r="BO19" s="37"/>
      <c r="BP19" s="37"/>
      <c r="BQ19" s="37"/>
      <c r="BR19" s="37"/>
      <c r="BS19" s="37"/>
      <c r="BT19" s="38"/>
      <c r="BU19" s="37"/>
      <c r="BV19" s="37"/>
    </row>
    <row r="20" spans="2:74" ht="36" customHeight="1" x14ac:dyDescent="0.55000000000000004">
      <c r="B20" s="10">
        <v>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  <c r="BO20" s="37"/>
      <c r="BP20" s="37"/>
      <c r="BQ20" s="37"/>
      <c r="BR20" s="37"/>
      <c r="BS20" s="37"/>
      <c r="BT20" s="38"/>
      <c r="BU20" s="37"/>
      <c r="BV20" s="37"/>
    </row>
    <row r="21" spans="2:74" ht="36" customHeight="1" x14ac:dyDescent="0.55000000000000004">
      <c r="B21" s="10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  <c r="BO21" s="37"/>
      <c r="BP21" s="37"/>
      <c r="BQ21" s="37"/>
      <c r="BR21" s="37"/>
      <c r="BS21" s="37"/>
      <c r="BT21" s="38"/>
      <c r="BU21" s="37"/>
      <c r="BV21" s="37"/>
    </row>
  </sheetData>
  <mergeCells count="172"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AW16:BM16"/>
    <mergeCell ref="BN16:BP16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C16:G16"/>
    <mergeCell ref="H16:Y16"/>
    <mergeCell ref="Z16:AC16"/>
    <mergeCell ref="AD16:AG16"/>
    <mergeCell ref="AH16:AK16"/>
    <mergeCell ref="AL16:AO16"/>
    <mergeCell ref="AP16:AQ16"/>
    <mergeCell ref="AR16:AS16"/>
    <mergeCell ref="AT16:AV16"/>
    <mergeCell ref="AW14:BM14"/>
    <mergeCell ref="BN14:BP14"/>
    <mergeCell ref="BQ14:BS14"/>
    <mergeCell ref="BT14:BV14"/>
    <mergeCell ref="C15:G15"/>
    <mergeCell ref="H15:Y15"/>
    <mergeCell ref="Z15:AC15"/>
    <mergeCell ref="AD15:AG15"/>
    <mergeCell ref="AH15:AK15"/>
    <mergeCell ref="AL15:AO15"/>
    <mergeCell ref="BT15:BV15"/>
    <mergeCell ref="AP15:AQ15"/>
    <mergeCell ref="AR15:AS15"/>
    <mergeCell ref="AT15:AV15"/>
    <mergeCell ref="AW15:BM15"/>
    <mergeCell ref="BN15:BP15"/>
    <mergeCell ref="BQ15:BS15"/>
    <mergeCell ref="C14:G14"/>
    <mergeCell ref="H14:Y14"/>
    <mergeCell ref="Z14:AC14"/>
    <mergeCell ref="AD14:AG14"/>
    <mergeCell ref="AH14:AK14"/>
    <mergeCell ref="AL14:AO14"/>
    <mergeCell ref="AP14:AQ14"/>
    <mergeCell ref="AR14:AS14"/>
    <mergeCell ref="AT14:AV14"/>
    <mergeCell ref="AD11:AG11"/>
    <mergeCell ref="AH11:AK11"/>
    <mergeCell ref="AL11:AO11"/>
    <mergeCell ref="AW12:BM12"/>
    <mergeCell ref="BN12:BP12"/>
    <mergeCell ref="BQ12:BS12"/>
    <mergeCell ref="BT12:BV12"/>
    <mergeCell ref="C13:G13"/>
    <mergeCell ref="H13:Y13"/>
    <mergeCell ref="Z13:AC13"/>
    <mergeCell ref="AD13:AG13"/>
    <mergeCell ref="AH13:AK13"/>
    <mergeCell ref="AL13:AO13"/>
    <mergeCell ref="BT13:BV13"/>
    <mergeCell ref="AP13:AQ13"/>
    <mergeCell ref="AR13:AS13"/>
    <mergeCell ref="AT13:AV13"/>
    <mergeCell ref="AW13:BM13"/>
    <mergeCell ref="BN13:BP13"/>
    <mergeCell ref="BQ13:BS13"/>
    <mergeCell ref="S7:U7"/>
    <mergeCell ref="B8:F8"/>
    <mergeCell ref="G8:L8"/>
    <mergeCell ref="M8:Q8"/>
    <mergeCell ref="R8:U8"/>
    <mergeCell ref="BT11:BV11"/>
    <mergeCell ref="C12:G12"/>
    <mergeCell ref="H12:Y12"/>
    <mergeCell ref="Z12:AC12"/>
    <mergeCell ref="AD12:AG12"/>
    <mergeCell ref="AH12:AK12"/>
    <mergeCell ref="AL12:AO12"/>
    <mergeCell ref="AP12:AQ12"/>
    <mergeCell ref="AR12:AS12"/>
    <mergeCell ref="AT12:AV12"/>
    <mergeCell ref="AP11:AQ11"/>
    <mergeCell ref="AR11:AS11"/>
    <mergeCell ref="AT11:AV11"/>
    <mergeCell ref="AW11:BM11"/>
    <mergeCell ref="BN11:BP11"/>
    <mergeCell ref="BQ11:BS11"/>
    <mergeCell ref="C11:G11"/>
    <mergeCell ref="H11:Y11"/>
    <mergeCell ref="Z11:AC11"/>
    <mergeCell ref="B2:F3"/>
    <mergeCell ref="G2:K3"/>
    <mergeCell ref="L2:AB3"/>
    <mergeCell ref="AC2:AE2"/>
    <mergeCell ref="AF2:AI2"/>
    <mergeCell ref="AC3:AE3"/>
    <mergeCell ref="AF3:AI3"/>
    <mergeCell ref="B5:F5"/>
    <mergeCell ref="G5:U5"/>
    <mergeCell ref="V5:Z9"/>
    <mergeCell ref="AA5:AI9"/>
    <mergeCell ref="B6:F6"/>
    <mergeCell ref="G6:U6"/>
    <mergeCell ref="B7:F7"/>
    <mergeCell ref="G7:H7"/>
    <mergeCell ref="I7:L7"/>
    <mergeCell ref="M7:N7"/>
    <mergeCell ref="B9:F9"/>
    <mergeCell ref="G9:I9"/>
    <mergeCell ref="J9:L9"/>
    <mergeCell ref="M9:O9"/>
    <mergeCell ref="P9:R9"/>
    <mergeCell ref="S9:U9"/>
    <mergeCell ref="O7:Q7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75A968D-C525-4842-BB07-D87C64462BED}">
          <x14:formula1>
            <xm:f>setting!$F$3:$F$11</xm:f>
          </x14:formula1>
          <xm:sqref>AL12:AO21</xm:sqref>
        </x14:dataValidation>
        <x14:dataValidation type="list" allowBlank="1" showInputMessage="1" showErrorMessage="1" xr:uid="{08031A7B-BA13-49C8-8BB4-2413AE2ADF93}">
          <x14:formula1>
            <xm:f>setting!$J$3:$J$7</xm:f>
          </x14:formula1>
          <xm:sqref>BN12:BP21</xm:sqref>
        </x14:dataValidation>
        <x14:dataValidation type="list" allowBlank="1" showInputMessage="1" showErrorMessage="1" xr:uid="{3FB30E12-B986-456F-A306-323FD6D12BF9}">
          <x14:formula1>
            <xm:f>setting!$I$3:$I$5</xm:f>
          </x14:formula1>
          <xm:sqref>AT12:AV21</xm:sqref>
        </x14:dataValidation>
        <x14:dataValidation type="list" allowBlank="1" showInputMessage="1" showErrorMessage="1" xr:uid="{5FE8D898-1B85-48E1-8612-F2424692C52C}">
          <x14:formula1>
            <xm:f>setting!$H$3</xm:f>
          </x14:formula1>
          <xm:sqref>AR12:AS21</xm:sqref>
        </x14:dataValidation>
        <x14:dataValidation type="list" allowBlank="1" showInputMessage="1" showErrorMessage="1" xr:uid="{9885E297-D3DA-4F16-8744-61844F33187C}">
          <x14:formula1>
            <xm:f>setting!$G$3:$G$5</xm:f>
          </x14:formula1>
          <xm:sqref>AP12:AQ21</xm:sqref>
        </x14:dataValidation>
        <x14:dataValidation type="list" allowBlank="1" showInputMessage="1" showErrorMessage="1" xr:uid="{E7BE9D12-58E6-4AAE-9991-2BFB46DB82FD}">
          <x14:formula1>
            <xm:f>setting!$E$3:$E$11</xm:f>
          </x14:formula1>
          <xm:sqref>AH12:AK21</xm:sqref>
        </x14:dataValidation>
        <x14:dataValidation type="list" allowBlank="1" showInputMessage="1" showErrorMessage="1" xr:uid="{AF8BD1FA-0E7B-467F-9CE3-67A38A5F042C}">
          <x14:formula1>
            <xm:f>setting!$D$3:$D$14</xm:f>
          </x14:formula1>
          <xm:sqref>AD12:AG21</xm:sqref>
        </x14:dataValidation>
        <x14:dataValidation type="list" allowBlank="1" showInputMessage="1" showErrorMessage="1" xr:uid="{FC18E0CE-58F2-42F1-A1F8-67BE264960F6}">
          <x14:formula1>
            <xm:f>setting!$C$3:$C$9</xm:f>
          </x14:formula1>
          <xm:sqref>Z12:AC21</xm:sqref>
        </x14:dataValidation>
        <x14:dataValidation type="list" allowBlank="1" showInputMessage="1" xr:uid="{81D54238-4028-410B-B8F3-52B5E93AE1A7}">
          <x14:formula1>
            <xm:f>setting!$B$3:$B$11</xm:f>
          </x14:formula1>
          <xm:sqref>G6:U6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C4A2-077F-4CD2-A903-E3E8F8D58993}">
  <dimension ref="B2:BV21"/>
  <sheetViews>
    <sheetView zoomScale="85" zoomScaleNormal="85" workbookViewId="0">
      <selection activeCell="C11" sqref="C11:G11"/>
    </sheetView>
  </sheetViews>
  <sheetFormatPr defaultColWidth="3.58203125" defaultRowHeight="18" x14ac:dyDescent="0.55000000000000004"/>
  <cols>
    <col min="1" max="1" width="3.58203125" style="3"/>
    <col min="2" max="2" width="4.25" style="3" bestFit="1" customWidth="1"/>
    <col min="3" max="16384" width="3.58203125" style="3"/>
  </cols>
  <sheetData>
    <row r="2" spans="2:74" x14ac:dyDescent="0.55000000000000004">
      <c r="B2" s="31" t="s">
        <v>78</v>
      </c>
      <c r="C2" s="31"/>
      <c r="D2" s="31"/>
      <c r="E2" s="31"/>
      <c r="F2" s="31"/>
      <c r="G2" s="13" t="s">
        <v>0</v>
      </c>
      <c r="H2" s="14"/>
      <c r="I2" s="14"/>
      <c r="J2" s="14"/>
      <c r="K2" s="15"/>
      <c r="L2" s="19" t="s">
        <v>79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5" t="s">
        <v>2</v>
      </c>
      <c r="AD2" s="25"/>
      <c r="AE2" s="25"/>
      <c r="AF2" s="29"/>
      <c r="AG2" s="29"/>
      <c r="AH2" s="29"/>
      <c r="AI2" s="29"/>
    </row>
    <row r="3" spans="2:74" x14ac:dyDescent="0.55000000000000004">
      <c r="B3" s="31"/>
      <c r="C3" s="31"/>
      <c r="D3" s="31"/>
      <c r="E3" s="31"/>
      <c r="F3" s="31"/>
      <c r="G3" s="16"/>
      <c r="H3" s="17"/>
      <c r="I3" s="17"/>
      <c r="J3" s="17"/>
      <c r="K3" s="18"/>
      <c r="L3" s="2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25" t="s">
        <v>1</v>
      </c>
      <c r="AD3" s="25"/>
      <c r="AE3" s="25"/>
      <c r="AF3" s="30"/>
      <c r="AG3" s="30"/>
      <c r="AH3" s="30"/>
      <c r="AI3" s="30"/>
    </row>
    <row r="5" spans="2:74" x14ac:dyDescent="0.55000000000000004">
      <c r="B5" s="25" t="s">
        <v>7</v>
      </c>
      <c r="C5" s="25"/>
      <c r="D5" s="25"/>
      <c r="E5" s="25"/>
      <c r="F5" s="25"/>
      <c r="G5" s="32" t="s">
        <v>135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47" t="s">
        <v>74</v>
      </c>
      <c r="W5" s="25"/>
      <c r="X5" s="25"/>
      <c r="Y5" s="25"/>
      <c r="Z5" s="25"/>
      <c r="AA5" s="43"/>
      <c r="AB5" s="36"/>
      <c r="AC5" s="36"/>
      <c r="AD5" s="36"/>
      <c r="AE5" s="36"/>
      <c r="AF5" s="36"/>
      <c r="AG5" s="36"/>
      <c r="AH5" s="36"/>
      <c r="AI5" s="36"/>
    </row>
    <row r="6" spans="2:74" x14ac:dyDescent="0.55000000000000004">
      <c r="B6" s="25" t="s">
        <v>8</v>
      </c>
      <c r="C6" s="25"/>
      <c r="D6" s="25"/>
      <c r="E6" s="25"/>
      <c r="F6" s="25"/>
      <c r="G6" s="32" t="s">
        <v>52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25"/>
      <c r="X6" s="25"/>
      <c r="Y6" s="25"/>
      <c r="Z6" s="25"/>
      <c r="AA6" s="36"/>
      <c r="AB6" s="36"/>
      <c r="AC6" s="36"/>
      <c r="AD6" s="36"/>
      <c r="AE6" s="36"/>
      <c r="AF6" s="36"/>
      <c r="AG6" s="36"/>
      <c r="AH6" s="36"/>
      <c r="AI6" s="36"/>
    </row>
    <row r="7" spans="2:74" x14ac:dyDescent="0.55000000000000004">
      <c r="B7" s="25" t="s">
        <v>22</v>
      </c>
      <c r="C7" s="25"/>
      <c r="D7" s="25"/>
      <c r="E7" s="25"/>
      <c r="F7" s="25"/>
      <c r="G7" s="25" t="s">
        <v>5</v>
      </c>
      <c r="H7" s="25"/>
      <c r="I7" s="29">
        <v>45832</v>
      </c>
      <c r="J7" s="29"/>
      <c r="K7" s="29"/>
      <c r="L7" s="29"/>
      <c r="M7" s="25" t="s">
        <v>23</v>
      </c>
      <c r="N7" s="25"/>
      <c r="O7" s="34">
        <v>0.47222222222222227</v>
      </c>
      <c r="P7" s="30"/>
      <c r="Q7" s="35"/>
      <c r="R7" s="4" t="s">
        <v>21</v>
      </c>
      <c r="S7" s="33">
        <v>0.47569444444444442</v>
      </c>
      <c r="T7" s="30"/>
      <c r="U7" s="30"/>
      <c r="V7" s="25"/>
      <c r="W7" s="25"/>
      <c r="X7" s="25"/>
      <c r="Y7" s="25"/>
      <c r="Z7" s="25"/>
      <c r="AA7" s="36"/>
      <c r="AB7" s="36"/>
      <c r="AC7" s="36"/>
      <c r="AD7" s="36"/>
      <c r="AE7" s="36"/>
      <c r="AF7" s="36"/>
      <c r="AG7" s="36"/>
      <c r="AH7" s="36"/>
      <c r="AI7" s="36"/>
    </row>
    <row r="8" spans="2:74" x14ac:dyDescent="0.55000000000000004">
      <c r="B8" s="25" t="s">
        <v>3</v>
      </c>
      <c r="C8" s="25"/>
      <c r="D8" s="25"/>
      <c r="E8" s="25"/>
      <c r="F8" s="25"/>
      <c r="G8" s="32" t="s">
        <v>137</v>
      </c>
      <c r="H8" s="32"/>
      <c r="I8" s="32"/>
      <c r="J8" s="32"/>
      <c r="K8" s="32"/>
      <c r="L8" s="32"/>
      <c r="M8" s="25" t="s">
        <v>4</v>
      </c>
      <c r="N8" s="25"/>
      <c r="O8" s="25"/>
      <c r="P8" s="25"/>
      <c r="Q8" s="25"/>
      <c r="R8" s="32" t="s">
        <v>138</v>
      </c>
      <c r="S8" s="32"/>
      <c r="T8" s="32"/>
      <c r="U8" s="32"/>
      <c r="V8" s="25"/>
      <c r="W8" s="25"/>
      <c r="X8" s="25"/>
      <c r="Y8" s="25"/>
      <c r="Z8" s="25"/>
      <c r="AA8" s="36"/>
      <c r="AB8" s="36"/>
      <c r="AC8" s="36"/>
      <c r="AD8" s="36"/>
      <c r="AE8" s="36"/>
      <c r="AF8" s="36"/>
      <c r="AG8" s="36"/>
      <c r="AH8" s="36"/>
      <c r="AI8" s="36"/>
    </row>
    <row r="9" spans="2:74" x14ac:dyDescent="0.55000000000000004">
      <c r="B9" s="25" t="s">
        <v>20</v>
      </c>
      <c r="C9" s="25"/>
      <c r="D9" s="25"/>
      <c r="E9" s="25"/>
      <c r="F9" s="25"/>
      <c r="G9" s="32">
        <v>3</v>
      </c>
      <c r="H9" s="32"/>
      <c r="I9" s="32"/>
      <c r="J9" s="44" t="s">
        <v>6</v>
      </c>
      <c r="K9" s="45"/>
      <c r="L9" s="46"/>
      <c r="M9" s="26">
        <f>(S7-O7)*24</f>
        <v>8.3333333333331705E-2</v>
      </c>
      <c r="N9" s="27"/>
      <c r="O9" s="28"/>
      <c r="P9" s="44" t="s">
        <v>60</v>
      </c>
      <c r="Q9" s="45"/>
      <c r="R9" s="46"/>
      <c r="S9" s="26">
        <f>G9*M9</f>
        <v>0.24999999999999512</v>
      </c>
      <c r="T9" s="27"/>
      <c r="U9" s="28"/>
      <c r="V9" s="25"/>
      <c r="W9" s="25"/>
      <c r="X9" s="25"/>
      <c r="Y9" s="25"/>
      <c r="Z9" s="25"/>
      <c r="AA9" s="36"/>
      <c r="AB9" s="36"/>
      <c r="AC9" s="36"/>
      <c r="AD9" s="36"/>
      <c r="AE9" s="36"/>
      <c r="AF9" s="36"/>
      <c r="AG9" s="36"/>
      <c r="AH9" s="36"/>
      <c r="AI9" s="36"/>
    </row>
    <row r="10" spans="2:74" s="8" customFormat="1" x14ac:dyDescent="0.55000000000000004"/>
    <row r="11" spans="2:74" x14ac:dyDescent="0.55000000000000004">
      <c r="B11" s="9" t="s">
        <v>9</v>
      </c>
      <c r="C11" s="25" t="s">
        <v>77</v>
      </c>
      <c r="D11" s="25"/>
      <c r="E11" s="25"/>
      <c r="F11" s="25"/>
      <c r="G11" s="25"/>
      <c r="H11" s="25" t="s">
        <v>10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24</v>
      </c>
      <c r="AA11" s="25"/>
      <c r="AB11" s="25"/>
      <c r="AC11" s="25"/>
      <c r="AD11" s="25" t="s">
        <v>76</v>
      </c>
      <c r="AE11" s="25"/>
      <c r="AF11" s="25"/>
      <c r="AG11" s="25"/>
      <c r="AH11" s="25" t="s">
        <v>25</v>
      </c>
      <c r="AI11" s="25"/>
      <c r="AJ11" s="25"/>
      <c r="AK11" s="25"/>
      <c r="AL11" s="25" t="s">
        <v>11</v>
      </c>
      <c r="AM11" s="25"/>
      <c r="AN11" s="25"/>
      <c r="AO11" s="25"/>
      <c r="AP11" s="25" t="s">
        <v>12</v>
      </c>
      <c r="AQ11" s="25"/>
      <c r="AR11" s="25" t="s">
        <v>17</v>
      </c>
      <c r="AS11" s="25"/>
      <c r="AT11" s="25" t="s">
        <v>13</v>
      </c>
      <c r="AU11" s="25"/>
      <c r="AV11" s="25"/>
      <c r="AW11" s="25" t="s">
        <v>14</v>
      </c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73</v>
      </c>
      <c r="BO11" s="25"/>
      <c r="BP11" s="25"/>
      <c r="BQ11" s="25" t="s">
        <v>15</v>
      </c>
      <c r="BR11" s="25"/>
      <c r="BS11" s="25"/>
      <c r="BT11" s="25" t="s">
        <v>16</v>
      </c>
      <c r="BU11" s="25"/>
      <c r="BV11" s="25"/>
    </row>
    <row r="12" spans="2:74" ht="36" customHeight="1" x14ac:dyDescent="0.55000000000000004">
      <c r="B12" s="10">
        <v>1</v>
      </c>
      <c r="C12" s="39"/>
      <c r="D12" s="40"/>
      <c r="E12" s="40"/>
      <c r="F12" s="40"/>
      <c r="G12" s="41"/>
      <c r="H12" s="39" t="s">
        <v>106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 t="s">
        <v>65</v>
      </c>
      <c r="AU12" s="37"/>
      <c r="AV12" s="37"/>
      <c r="AW12" s="36" t="s">
        <v>109</v>
      </c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7" t="s">
        <v>72</v>
      </c>
      <c r="BO12" s="37"/>
      <c r="BP12" s="37"/>
      <c r="BQ12" s="37" t="s">
        <v>130</v>
      </c>
      <c r="BR12" s="37"/>
      <c r="BS12" s="37"/>
      <c r="BT12" s="38">
        <v>45832</v>
      </c>
      <c r="BU12" s="37"/>
      <c r="BV12" s="37"/>
    </row>
    <row r="13" spans="2:74" ht="36" customHeight="1" x14ac:dyDescent="0.55000000000000004">
      <c r="B13" s="10">
        <v>2</v>
      </c>
      <c r="C13" s="39"/>
      <c r="D13" s="40"/>
      <c r="E13" s="40"/>
      <c r="F13" s="40"/>
      <c r="G13" s="41"/>
      <c r="H13" s="39" t="s">
        <v>107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 t="s">
        <v>65</v>
      </c>
      <c r="AU13" s="37"/>
      <c r="AV13" s="37"/>
      <c r="AW13" s="36" t="s">
        <v>109</v>
      </c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 t="s">
        <v>72</v>
      </c>
      <c r="BO13" s="37"/>
      <c r="BP13" s="37"/>
      <c r="BQ13" s="37" t="s">
        <v>130</v>
      </c>
      <c r="BR13" s="37"/>
      <c r="BS13" s="37"/>
      <c r="BT13" s="38">
        <v>45832</v>
      </c>
      <c r="BU13" s="37"/>
      <c r="BV13" s="37"/>
    </row>
    <row r="14" spans="2:74" ht="36" customHeight="1" x14ac:dyDescent="0.55000000000000004">
      <c r="B14" s="10">
        <v>3</v>
      </c>
      <c r="C14" s="36"/>
      <c r="D14" s="36"/>
      <c r="E14" s="36"/>
      <c r="F14" s="36"/>
      <c r="G14" s="36"/>
      <c r="H14" s="36" t="s">
        <v>108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 t="s">
        <v>65</v>
      </c>
      <c r="AU14" s="37"/>
      <c r="AV14" s="37"/>
      <c r="AW14" s="36" t="s">
        <v>109</v>
      </c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7" t="s">
        <v>72</v>
      </c>
      <c r="BO14" s="37"/>
      <c r="BP14" s="37"/>
      <c r="BQ14" s="37" t="s">
        <v>130</v>
      </c>
      <c r="BR14" s="37"/>
      <c r="BS14" s="37"/>
      <c r="BT14" s="38">
        <v>45832</v>
      </c>
      <c r="BU14" s="37"/>
      <c r="BV14" s="37"/>
    </row>
    <row r="15" spans="2:74" ht="36" customHeight="1" x14ac:dyDescent="0.55000000000000004">
      <c r="B15" s="10">
        <v>4</v>
      </c>
      <c r="C15" s="36"/>
      <c r="D15" s="36"/>
      <c r="E15" s="36"/>
      <c r="F15" s="36"/>
      <c r="G15" s="36"/>
      <c r="H15" s="36" t="s">
        <v>111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 t="s">
        <v>65</v>
      </c>
      <c r="AU15" s="37"/>
      <c r="AV15" s="37"/>
      <c r="AW15" s="36" t="s">
        <v>109</v>
      </c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 t="s">
        <v>72</v>
      </c>
      <c r="BO15" s="37"/>
      <c r="BP15" s="37"/>
      <c r="BQ15" s="37" t="s">
        <v>130</v>
      </c>
      <c r="BR15" s="37"/>
      <c r="BS15" s="37"/>
      <c r="BT15" s="38">
        <v>45832</v>
      </c>
      <c r="BU15" s="37"/>
      <c r="BV15" s="37"/>
    </row>
    <row r="16" spans="2:74" ht="36" customHeight="1" x14ac:dyDescent="0.55000000000000004">
      <c r="B16" s="10">
        <v>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/>
      <c r="BO16" s="37"/>
      <c r="BP16" s="37"/>
      <c r="BQ16" s="37"/>
      <c r="BR16" s="37"/>
      <c r="BS16" s="37"/>
      <c r="BT16" s="38"/>
      <c r="BU16" s="37"/>
      <c r="BV16" s="37"/>
    </row>
    <row r="17" spans="2:74" ht="36" customHeight="1" x14ac:dyDescent="0.55000000000000004">
      <c r="B17" s="10">
        <v>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  <c r="BO17" s="37"/>
      <c r="BP17" s="37"/>
      <c r="BQ17" s="37"/>
      <c r="BR17" s="37"/>
      <c r="BS17" s="37"/>
      <c r="BT17" s="38"/>
      <c r="BU17" s="37"/>
      <c r="BV17" s="37"/>
    </row>
    <row r="18" spans="2:74" ht="36" customHeight="1" x14ac:dyDescent="0.55000000000000004">
      <c r="B18" s="10">
        <v>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  <c r="BO18" s="37"/>
      <c r="BP18" s="37"/>
      <c r="BQ18" s="37"/>
      <c r="BR18" s="37"/>
      <c r="BS18" s="37"/>
      <c r="BT18" s="38"/>
      <c r="BU18" s="37"/>
      <c r="BV18" s="37"/>
    </row>
    <row r="19" spans="2:74" ht="36" customHeight="1" x14ac:dyDescent="0.55000000000000004">
      <c r="B19" s="10">
        <v>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  <c r="BO19" s="37"/>
      <c r="BP19" s="37"/>
      <c r="BQ19" s="37"/>
      <c r="BR19" s="37"/>
      <c r="BS19" s="37"/>
      <c r="BT19" s="38"/>
      <c r="BU19" s="37"/>
      <c r="BV19" s="37"/>
    </row>
    <row r="20" spans="2:74" ht="36" customHeight="1" x14ac:dyDescent="0.55000000000000004">
      <c r="B20" s="10">
        <v>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  <c r="BO20" s="37"/>
      <c r="BP20" s="37"/>
      <c r="BQ20" s="37"/>
      <c r="BR20" s="37"/>
      <c r="BS20" s="37"/>
      <c r="BT20" s="38"/>
      <c r="BU20" s="37"/>
      <c r="BV20" s="37"/>
    </row>
    <row r="21" spans="2:74" ht="36" customHeight="1" x14ac:dyDescent="0.55000000000000004">
      <c r="B21" s="10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  <c r="BO21" s="37"/>
      <c r="BP21" s="37"/>
      <c r="BQ21" s="37"/>
      <c r="BR21" s="37"/>
      <c r="BS21" s="37"/>
      <c r="BT21" s="38"/>
      <c r="BU21" s="37"/>
      <c r="BV21" s="37"/>
    </row>
  </sheetData>
  <mergeCells count="172"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AW16:BM16"/>
    <mergeCell ref="BN16:BP16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C16:G16"/>
    <mergeCell ref="H16:Y16"/>
    <mergeCell ref="Z16:AC16"/>
    <mergeCell ref="AD16:AG16"/>
    <mergeCell ref="AH16:AK16"/>
    <mergeCell ref="AL16:AO16"/>
    <mergeCell ref="AP16:AQ16"/>
    <mergeCell ref="AR16:AS16"/>
    <mergeCell ref="AT16:AV16"/>
    <mergeCell ref="AW14:BM14"/>
    <mergeCell ref="BN14:BP14"/>
    <mergeCell ref="BQ14:BS14"/>
    <mergeCell ref="BT14:BV14"/>
    <mergeCell ref="C15:G15"/>
    <mergeCell ref="H15:Y15"/>
    <mergeCell ref="Z15:AC15"/>
    <mergeCell ref="AD15:AG15"/>
    <mergeCell ref="AH15:AK15"/>
    <mergeCell ref="AL15:AO15"/>
    <mergeCell ref="BT15:BV15"/>
    <mergeCell ref="AP15:AQ15"/>
    <mergeCell ref="AR15:AS15"/>
    <mergeCell ref="AT15:AV15"/>
    <mergeCell ref="AW15:BM15"/>
    <mergeCell ref="BN15:BP15"/>
    <mergeCell ref="BQ15:BS15"/>
    <mergeCell ref="C14:G14"/>
    <mergeCell ref="H14:Y14"/>
    <mergeCell ref="Z14:AC14"/>
    <mergeCell ref="AD14:AG14"/>
    <mergeCell ref="AH14:AK14"/>
    <mergeCell ref="AL14:AO14"/>
    <mergeCell ref="AP14:AQ14"/>
    <mergeCell ref="AR14:AS14"/>
    <mergeCell ref="AT14:AV14"/>
    <mergeCell ref="AD11:AG11"/>
    <mergeCell ref="AH11:AK11"/>
    <mergeCell ref="AL11:AO11"/>
    <mergeCell ref="AW12:BM12"/>
    <mergeCell ref="BN12:BP12"/>
    <mergeCell ref="BQ12:BS12"/>
    <mergeCell ref="BT12:BV12"/>
    <mergeCell ref="C13:G13"/>
    <mergeCell ref="H13:Y13"/>
    <mergeCell ref="Z13:AC13"/>
    <mergeCell ref="AD13:AG13"/>
    <mergeCell ref="AH13:AK13"/>
    <mergeCell ref="AL13:AO13"/>
    <mergeCell ref="BT13:BV13"/>
    <mergeCell ref="AP13:AQ13"/>
    <mergeCell ref="AR13:AS13"/>
    <mergeCell ref="AT13:AV13"/>
    <mergeCell ref="AW13:BM13"/>
    <mergeCell ref="BN13:BP13"/>
    <mergeCell ref="BQ13:BS13"/>
    <mergeCell ref="S7:U7"/>
    <mergeCell ref="B8:F8"/>
    <mergeCell ref="G8:L8"/>
    <mergeCell ref="M8:Q8"/>
    <mergeCell ref="R8:U8"/>
    <mergeCell ref="BT11:BV11"/>
    <mergeCell ref="C12:G12"/>
    <mergeCell ref="H12:Y12"/>
    <mergeCell ref="Z12:AC12"/>
    <mergeCell ref="AD12:AG12"/>
    <mergeCell ref="AH12:AK12"/>
    <mergeCell ref="AL12:AO12"/>
    <mergeCell ref="AP12:AQ12"/>
    <mergeCell ref="AR12:AS12"/>
    <mergeCell ref="AT12:AV12"/>
    <mergeCell ref="AP11:AQ11"/>
    <mergeCell ref="AR11:AS11"/>
    <mergeCell ref="AT11:AV11"/>
    <mergeCell ref="AW11:BM11"/>
    <mergeCell ref="BN11:BP11"/>
    <mergeCell ref="BQ11:BS11"/>
    <mergeCell ref="C11:G11"/>
    <mergeCell ref="H11:Y11"/>
    <mergeCell ref="Z11:AC11"/>
    <mergeCell ref="B2:F3"/>
    <mergeCell ref="G2:K3"/>
    <mergeCell ref="L2:AB3"/>
    <mergeCell ref="AC2:AE2"/>
    <mergeCell ref="AF2:AI2"/>
    <mergeCell ref="AC3:AE3"/>
    <mergeCell ref="AF3:AI3"/>
    <mergeCell ref="B5:F5"/>
    <mergeCell ref="G5:U5"/>
    <mergeCell ref="V5:Z9"/>
    <mergeCell ref="AA5:AI9"/>
    <mergeCell ref="B6:F6"/>
    <mergeCell ref="G6:U6"/>
    <mergeCell ref="B7:F7"/>
    <mergeCell ref="G7:H7"/>
    <mergeCell ref="I7:L7"/>
    <mergeCell ref="M7:N7"/>
    <mergeCell ref="B9:F9"/>
    <mergeCell ref="G9:I9"/>
    <mergeCell ref="J9:L9"/>
    <mergeCell ref="M9:O9"/>
    <mergeCell ref="P9:R9"/>
    <mergeCell ref="S9:U9"/>
    <mergeCell ref="O7:Q7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CED8411D-85D7-447E-B1CC-17118F9FD3A3}">
          <x14:formula1>
            <xm:f>setting!$B$3:$B$11</xm:f>
          </x14:formula1>
          <xm:sqref>G6:U6</xm:sqref>
        </x14:dataValidation>
        <x14:dataValidation type="list" allowBlank="1" showInputMessage="1" showErrorMessage="1" xr:uid="{7691513A-C71A-4CAF-B785-E0BAA6781469}">
          <x14:formula1>
            <xm:f>setting!$C$3:$C$9</xm:f>
          </x14:formula1>
          <xm:sqref>Z12:AC21</xm:sqref>
        </x14:dataValidation>
        <x14:dataValidation type="list" allowBlank="1" showInputMessage="1" showErrorMessage="1" xr:uid="{A7EB70F2-23E6-4C16-9EC1-08A686D808BA}">
          <x14:formula1>
            <xm:f>setting!$D$3:$D$14</xm:f>
          </x14:formula1>
          <xm:sqref>AD12:AG21</xm:sqref>
        </x14:dataValidation>
        <x14:dataValidation type="list" allowBlank="1" showInputMessage="1" showErrorMessage="1" xr:uid="{6AD4E087-CC20-49EE-8B4F-48DDBA09D838}">
          <x14:formula1>
            <xm:f>setting!$E$3:$E$11</xm:f>
          </x14:formula1>
          <xm:sqref>AH12:AK21</xm:sqref>
        </x14:dataValidation>
        <x14:dataValidation type="list" allowBlank="1" showInputMessage="1" showErrorMessage="1" xr:uid="{A33D10C6-5C0F-467B-B635-726FDAB88B0E}">
          <x14:formula1>
            <xm:f>setting!$G$3:$G$5</xm:f>
          </x14:formula1>
          <xm:sqref>AP12:AQ21</xm:sqref>
        </x14:dataValidation>
        <x14:dataValidation type="list" allowBlank="1" showInputMessage="1" showErrorMessage="1" xr:uid="{2C8027F8-786E-40A7-B13C-3A21746E0E52}">
          <x14:formula1>
            <xm:f>setting!$H$3</xm:f>
          </x14:formula1>
          <xm:sqref>AR12:AS21</xm:sqref>
        </x14:dataValidation>
        <x14:dataValidation type="list" allowBlank="1" showInputMessage="1" showErrorMessage="1" xr:uid="{629EDD76-CE79-4109-878F-389DBB6D76A8}">
          <x14:formula1>
            <xm:f>setting!$I$3:$I$5</xm:f>
          </x14:formula1>
          <xm:sqref>AT12:AV21</xm:sqref>
        </x14:dataValidation>
        <x14:dataValidation type="list" allowBlank="1" showInputMessage="1" showErrorMessage="1" xr:uid="{CFD0D752-0974-4B5A-9867-B1DA9780C04B}">
          <x14:formula1>
            <xm:f>setting!$J$3:$J$7</xm:f>
          </x14:formula1>
          <xm:sqref>BN12:BP21</xm:sqref>
        </x14:dataValidation>
        <x14:dataValidation type="list" allowBlank="1" showInputMessage="1" showErrorMessage="1" xr:uid="{7104DBB7-FA96-4C9E-873F-02C5E2436E07}">
          <x14:formula1>
            <xm:f>setting!$F$3:$F$11</xm:f>
          </x14:formula1>
          <xm:sqref>AL12:AO21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2453-18FC-46A4-84BC-4386614C4E8B}">
  <dimension ref="B2:BV21"/>
  <sheetViews>
    <sheetView zoomScale="85" zoomScaleNormal="85" workbookViewId="0">
      <selection activeCell="G6" sqref="G6:U6"/>
    </sheetView>
  </sheetViews>
  <sheetFormatPr defaultColWidth="3.58203125" defaultRowHeight="18" x14ac:dyDescent="0.55000000000000004"/>
  <cols>
    <col min="1" max="1" width="3.58203125" style="3"/>
    <col min="2" max="2" width="4.25" style="3" bestFit="1" customWidth="1"/>
    <col min="3" max="16384" width="3.58203125" style="3"/>
  </cols>
  <sheetData>
    <row r="2" spans="2:74" x14ac:dyDescent="0.55000000000000004">
      <c r="B2" s="31" t="s">
        <v>78</v>
      </c>
      <c r="C2" s="31"/>
      <c r="D2" s="31"/>
      <c r="E2" s="31"/>
      <c r="F2" s="31"/>
      <c r="G2" s="13" t="s">
        <v>0</v>
      </c>
      <c r="H2" s="14"/>
      <c r="I2" s="14"/>
      <c r="J2" s="14"/>
      <c r="K2" s="15"/>
      <c r="L2" s="19" t="s">
        <v>79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5" t="s">
        <v>2</v>
      </c>
      <c r="AD2" s="25"/>
      <c r="AE2" s="25"/>
      <c r="AF2" s="29"/>
      <c r="AG2" s="29"/>
      <c r="AH2" s="29"/>
      <c r="AI2" s="29"/>
    </row>
    <row r="3" spans="2:74" x14ac:dyDescent="0.55000000000000004">
      <c r="B3" s="31"/>
      <c r="C3" s="31"/>
      <c r="D3" s="31"/>
      <c r="E3" s="31"/>
      <c r="F3" s="31"/>
      <c r="G3" s="16"/>
      <c r="H3" s="17"/>
      <c r="I3" s="17"/>
      <c r="J3" s="17"/>
      <c r="K3" s="18"/>
      <c r="L3" s="2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25" t="s">
        <v>1</v>
      </c>
      <c r="AD3" s="25"/>
      <c r="AE3" s="25"/>
      <c r="AF3" s="30"/>
      <c r="AG3" s="30"/>
      <c r="AH3" s="30"/>
      <c r="AI3" s="30"/>
    </row>
    <row r="5" spans="2:74" x14ac:dyDescent="0.55000000000000004">
      <c r="B5" s="25" t="s">
        <v>7</v>
      </c>
      <c r="C5" s="25"/>
      <c r="D5" s="25"/>
      <c r="E5" s="25"/>
      <c r="F5" s="25"/>
      <c r="G5" s="32" t="s">
        <v>136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47" t="s">
        <v>74</v>
      </c>
      <c r="W5" s="25"/>
      <c r="X5" s="25"/>
      <c r="Y5" s="25"/>
      <c r="Z5" s="25"/>
      <c r="AA5" s="43"/>
      <c r="AB5" s="36"/>
      <c r="AC5" s="36"/>
      <c r="AD5" s="36"/>
      <c r="AE5" s="36"/>
      <c r="AF5" s="36"/>
      <c r="AG5" s="36"/>
      <c r="AH5" s="36"/>
      <c r="AI5" s="36"/>
    </row>
    <row r="6" spans="2:74" x14ac:dyDescent="0.55000000000000004">
      <c r="B6" s="25" t="s">
        <v>8</v>
      </c>
      <c r="C6" s="25"/>
      <c r="D6" s="25"/>
      <c r="E6" s="25"/>
      <c r="F6" s="25"/>
      <c r="G6" s="32" t="s">
        <v>52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25"/>
      <c r="X6" s="25"/>
      <c r="Y6" s="25"/>
      <c r="Z6" s="25"/>
      <c r="AA6" s="36"/>
      <c r="AB6" s="36"/>
      <c r="AC6" s="36"/>
      <c r="AD6" s="36"/>
      <c r="AE6" s="36"/>
      <c r="AF6" s="36"/>
      <c r="AG6" s="36"/>
      <c r="AH6" s="36"/>
      <c r="AI6" s="36"/>
    </row>
    <row r="7" spans="2:74" x14ac:dyDescent="0.55000000000000004">
      <c r="B7" s="25" t="s">
        <v>22</v>
      </c>
      <c r="C7" s="25"/>
      <c r="D7" s="25"/>
      <c r="E7" s="25"/>
      <c r="F7" s="25"/>
      <c r="G7" s="25" t="s">
        <v>5</v>
      </c>
      <c r="H7" s="25"/>
      <c r="I7" s="29">
        <v>45832</v>
      </c>
      <c r="J7" s="29"/>
      <c r="K7" s="29"/>
      <c r="L7" s="29"/>
      <c r="M7" s="25" t="s">
        <v>23</v>
      </c>
      <c r="N7" s="25"/>
      <c r="O7" s="34">
        <v>0.47569444444444442</v>
      </c>
      <c r="P7" s="30"/>
      <c r="Q7" s="35"/>
      <c r="R7" s="4" t="s">
        <v>21</v>
      </c>
      <c r="S7" s="33">
        <v>0.47916666666666669</v>
      </c>
      <c r="T7" s="30"/>
      <c r="U7" s="30"/>
      <c r="V7" s="25"/>
      <c r="W7" s="25"/>
      <c r="X7" s="25"/>
      <c r="Y7" s="25"/>
      <c r="Z7" s="25"/>
      <c r="AA7" s="36"/>
      <c r="AB7" s="36"/>
      <c r="AC7" s="36"/>
      <c r="AD7" s="36"/>
      <c r="AE7" s="36"/>
      <c r="AF7" s="36"/>
      <c r="AG7" s="36"/>
      <c r="AH7" s="36"/>
      <c r="AI7" s="36"/>
    </row>
    <row r="8" spans="2:74" x14ac:dyDescent="0.55000000000000004">
      <c r="B8" s="25" t="s">
        <v>3</v>
      </c>
      <c r="C8" s="25"/>
      <c r="D8" s="25"/>
      <c r="E8" s="25"/>
      <c r="F8" s="25"/>
      <c r="G8" s="32" t="s">
        <v>137</v>
      </c>
      <c r="H8" s="32"/>
      <c r="I8" s="32"/>
      <c r="J8" s="32"/>
      <c r="K8" s="32"/>
      <c r="L8" s="32"/>
      <c r="M8" s="25" t="s">
        <v>4</v>
      </c>
      <c r="N8" s="25"/>
      <c r="O8" s="25"/>
      <c r="P8" s="25"/>
      <c r="Q8" s="25"/>
      <c r="R8" s="32" t="s">
        <v>138</v>
      </c>
      <c r="S8" s="32"/>
      <c r="T8" s="32"/>
      <c r="U8" s="32"/>
      <c r="V8" s="25"/>
      <c r="W8" s="25"/>
      <c r="X8" s="25"/>
      <c r="Y8" s="25"/>
      <c r="Z8" s="25"/>
      <c r="AA8" s="36"/>
      <c r="AB8" s="36"/>
      <c r="AC8" s="36"/>
      <c r="AD8" s="36"/>
      <c r="AE8" s="36"/>
      <c r="AF8" s="36"/>
      <c r="AG8" s="36"/>
      <c r="AH8" s="36"/>
      <c r="AI8" s="36"/>
    </row>
    <row r="9" spans="2:74" x14ac:dyDescent="0.55000000000000004">
      <c r="B9" s="25" t="s">
        <v>20</v>
      </c>
      <c r="C9" s="25"/>
      <c r="D9" s="25"/>
      <c r="E9" s="25"/>
      <c r="F9" s="25"/>
      <c r="G9" s="32">
        <v>3</v>
      </c>
      <c r="H9" s="32"/>
      <c r="I9" s="32"/>
      <c r="J9" s="44" t="s">
        <v>6</v>
      </c>
      <c r="K9" s="45"/>
      <c r="L9" s="46"/>
      <c r="M9" s="26">
        <f>(S7-O7)*24</f>
        <v>8.333333333333437E-2</v>
      </c>
      <c r="N9" s="27"/>
      <c r="O9" s="28"/>
      <c r="P9" s="44" t="s">
        <v>60</v>
      </c>
      <c r="Q9" s="45"/>
      <c r="R9" s="46"/>
      <c r="S9" s="26">
        <f>G9*M9</f>
        <v>0.25000000000000311</v>
      </c>
      <c r="T9" s="27"/>
      <c r="U9" s="28"/>
      <c r="V9" s="25"/>
      <c r="W9" s="25"/>
      <c r="X9" s="25"/>
      <c r="Y9" s="25"/>
      <c r="Z9" s="25"/>
      <c r="AA9" s="36"/>
      <c r="AB9" s="36"/>
      <c r="AC9" s="36"/>
      <c r="AD9" s="36"/>
      <c r="AE9" s="36"/>
      <c r="AF9" s="36"/>
      <c r="AG9" s="36"/>
      <c r="AH9" s="36"/>
      <c r="AI9" s="36"/>
    </row>
    <row r="10" spans="2:74" s="8" customFormat="1" x14ac:dyDescent="0.55000000000000004"/>
    <row r="11" spans="2:74" x14ac:dyDescent="0.55000000000000004">
      <c r="B11" s="11" t="s">
        <v>9</v>
      </c>
      <c r="C11" s="25" t="s">
        <v>77</v>
      </c>
      <c r="D11" s="25"/>
      <c r="E11" s="25"/>
      <c r="F11" s="25"/>
      <c r="G11" s="25"/>
      <c r="H11" s="25" t="s">
        <v>10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24</v>
      </c>
      <c r="AA11" s="25"/>
      <c r="AB11" s="25"/>
      <c r="AC11" s="25"/>
      <c r="AD11" s="25" t="s">
        <v>76</v>
      </c>
      <c r="AE11" s="25"/>
      <c r="AF11" s="25"/>
      <c r="AG11" s="25"/>
      <c r="AH11" s="25" t="s">
        <v>25</v>
      </c>
      <c r="AI11" s="25"/>
      <c r="AJ11" s="25"/>
      <c r="AK11" s="25"/>
      <c r="AL11" s="25" t="s">
        <v>11</v>
      </c>
      <c r="AM11" s="25"/>
      <c r="AN11" s="25"/>
      <c r="AO11" s="25"/>
      <c r="AP11" s="25" t="s">
        <v>12</v>
      </c>
      <c r="AQ11" s="25"/>
      <c r="AR11" s="25" t="s">
        <v>17</v>
      </c>
      <c r="AS11" s="25"/>
      <c r="AT11" s="25" t="s">
        <v>13</v>
      </c>
      <c r="AU11" s="25"/>
      <c r="AV11" s="25"/>
      <c r="AW11" s="25" t="s">
        <v>14</v>
      </c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73</v>
      </c>
      <c r="BO11" s="25"/>
      <c r="BP11" s="25"/>
      <c r="BQ11" s="25" t="s">
        <v>15</v>
      </c>
      <c r="BR11" s="25"/>
      <c r="BS11" s="25"/>
      <c r="BT11" s="25" t="s">
        <v>16</v>
      </c>
      <c r="BU11" s="25"/>
      <c r="BV11" s="25"/>
    </row>
    <row r="12" spans="2:74" ht="36" customHeight="1" x14ac:dyDescent="0.55000000000000004">
      <c r="B12" s="12">
        <v>1</v>
      </c>
      <c r="C12" s="39"/>
      <c r="D12" s="40"/>
      <c r="E12" s="40"/>
      <c r="F12" s="40"/>
      <c r="G12" s="41"/>
      <c r="H12" s="39" t="s">
        <v>110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7"/>
      <c r="BO12" s="37"/>
      <c r="BP12" s="37"/>
      <c r="BQ12" s="37"/>
      <c r="BR12" s="37"/>
      <c r="BS12" s="37"/>
      <c r="BT12" s="38"/>
      <c r="BU12" s="37"/>
      <c r="BV12" s="37"/>
    </row>
    <row r="13" spans="2:74" ht="36" customHeight="1" x14ac:dyDescent="0.55000000000000004">
      <c r="B13" s="12">
        <v>2</v>
      </c>
      <c r="C13" s="39"/>
      <c r="D13" s="40"/>
      <c r="E13" s="40"/>
      <c r="F13" s="40"/>
      <c r="G13" s="41"/>
      <c r="H13" s="39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/>
      <c r="BO13" s="37"/>
      <c r="BP13" s="37"/>
      <c r="BQ13" s="37"/>
      <c r="BR13" s="37"/>
      <c r="BS13" s="37"/>
      <c r="BT13" s="38"/>
      <c r="BU13" s="37"/>
      <c r="BV13" s="37"/>
    </row>
    <row r="14" spans="2:74" ht="36" customHeight="1" x14ac:dyDescent="0.55000000000000004">
      <c r="B14" s="12">
        <v>3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7"/>
      <c r="BO14" s="37"/>
      <c r="BP14" s="37"/>
      <c r="BQ14" s="37"/>
      <c r="BR14" s="37"/>
      <c r="BS14" s="37"/>
      <c r="BT14" s="38"/>
      <c r="BU14" s="37"/>
      <c r="BV14" s="37"/>
    </row>
    <row r="15" spans="2:74" ht="36" customHeight="1" x14ac:dyDescent="0.55000000000000004">
      <c r="B15" s="12">
        <v>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/>
      <c r="BO15" s="37"/>
      <c r="BP15" s="37"/>
      <c r="BQ15" s="37"/>
      <c r="BR15" s="37"/>
      <c r="BS15" s="37"/>
      <c r="BT15" s="38"/>
      <c r="BU15" s="37"/>
      <c r="BV15" s="37"/>
    </row>
    <row r="16" spans="2:74" ht="36" customHeight="1" x14ac:dyDescent="0.55000000000000004">
      <c r="B16" s="12">
        <v>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/>
      <c r="BO16" s="37"/>
      <c r="BP16" s="37"/>
      <c r="BQ16" s="37"/>
      <c r="BR16" s="37"/>
      <c r="BS16" s="37"/>
      <c r="BT16" s="38"/>
      <c r="BU16" s="37"/>
      <c r="BV16" s="37"/>
    </row>
    <row r="17" spans="2:74" ht="36" customHeight="1" x14ac:dyDescent="0.55000000000000004">
      <c r="B17" s="12">
        <v>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  <c r="BO17" s="37"/>
      <c r="BP17" s="37"/>
      <c r="BQ17" s="37"/>
      <c r="BR17" s="37"/>
      <c r="BS17" s="37"/>
      <c r="BT17" s="38"/>
      <c r="BU17" s="37"/>
      <c r="BV17" s="37"/>
    </row>
    <row r="18" spans="2:74" ht="36" customHeight="1" x14ac:dyDescent="0.55000000000000004">
      <c r="B18" s="12">
        <v>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  <c r="BO18" s="37"/>
      <c r="BP18" s="37"/>
      <c r="BQ18" s="37"/>
      <c r="BR18" s="37"/>
      <c r="BS18" s="37"/>
      <c r="BT18" s="38"/>
      <c r="BU18" s="37"/>
      <c r="BV18" s="37"/>
    </row>
    <row r="19" spans="2:74" ht="36" customHeight="1" x14ac:dyDescent="0.55000000000000004">
      <c r="B19" s="12">
        <v>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  <c r="BO19" s="37"/>
      <c r="BP19" s="37"/>
      <c r="BQ19" s="37"/>
      <c r="BR19" s="37"/>
      <c r="BS19" s="37"/>
      <c r="BT19" s="38"/>
      <c r="BU19" s="37"/>
      <c r="BV19" s="37"/>
    </row>
    <row r="20" spans="2:74" ht="36" customHeight="1" x14ac:dyDescent="0.55000000000000004">
      <c r="B20" s="12">
        <v>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  <c r="BO20" s="37"/>
      <c r="BP20" s="37"/>
      <c r="BQ20" s="37"/>
      <c r="BR20" s="37"/>
      <c r="BS20" s="37"/>
      <c r="BT20" s="38"/>
      <c r="BU20" s="37"/>
      <c r="BV20" s="37"/>
    </row>
    <row r="21" spans="2:74" ht="36" customHeight="1" x14ac:dyDescent="0.55000000000000004">
      <c r="B21" s="12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  <c r="BO21" s="37"/>
      <c r="BP21" s="37"/>
      <c r="BQ21" s="37"/>
      <c r="BR21" s="37"/>
      <c r="BS21" s="37"/>
      <c r="BT21" s="38"/>
      <c r="BU21" s="37"/>
      <c r="BV21" s="37"/>
    </row>
  </sheetData>
  <mergeCells count="172">
    <mergeCell ref="B2:F3"/>
    <mergeCell ref="G2:K3"/>
    <mergeCell ref="L2:AB3"/>
    <mergeCell ref="AC2:AE2"/>
    <mergeCell ref="AF2:AI2"/>
    <mergeCell ref="AC3:AE3"/>
    <mergeCell ref="AF3:AI3"/>
    <mergeCell ref="B5:F5"/>
    <mergeCell ref="G5:U5"/>
    <mergeCell ref="V5:Z9"/>
    <mergeCell ref="AA5:AI9"/>
    <mergeCell ref="B6:F6"/>
    <mergeCell ref="G6:U6"/>
    <mergeCell ref="B7:F7"/>
    <mergeCell ref="G7:H7"/>
    <mergeCell ref="I7:L7"/>
    <mergeCell ref="M7:N7"/>
    <mergeCell ref="B9:F9"/>
    <mergeCell ref="G9:I9"/>
    <mergeCell ref="J9:L9"/>
    <mergeCell ref="M9:O9"/>
    <mergeCell ref="P9:R9"/>
    <mergeCell ref="S9:U9"/>
    <mergeCell ref="O7:Q7"/>
    <mergeCell ref="S7:U7"/>
    <mergeCell ref="B8:F8"/>
    <mergeCell ref="G8:L8"/>
    <mergeCell ref="M8:Q8"/>
    <mergeCell ref="R8:U8"/>
    <mergeCell ref="BT11:BV11"/>
    <mergeCell ref="C12:G12"/>
    <mergeCell ref="H12:Y12"/>
    <mergeCell ref="Z12:AC12"/>
    <mergeCell ref="AD12:AG12"/>
    <mergeCell ref="AH12:AK12"/>
    <mergeCell ref="AL12:AO12"/>
    <mergeCell ref="AP12:AQ12"/>
    <mergeCell ref="AR12:AS12"/>
    <mergeCell ref="AT12:AV12"/>
    <mergeCell ref="AP11:AQ11"/>
    <mergeCell ref="AR11:AS11"/>
    <mergeCell ref="AT11:AV11"/>
    <mergeCell ref="AW11:BM11"/>
    <mergeCell ref="BN11:BP11"/>
    <mergeCell ref="BQ11:BS11"/>
    <mergeCell ref="C11:G11"/>
    <mergeCell ref="H11:Y11"/>
    <mergeCell ref="Z11:AC11"/>
    <mergeCell ref="BQ12:BS12"/>
    <mergeCell ref="BT12:BV12"/>
    <mergeCell ref="C13:G13"/>
    <mergeCell ref="H13:Y13"/>
    <mergeCell ref="Z13:AC13"/>
    <mergeCell ref="AD13:AG13"/>
    <mergeCell ref="AH13:AK13"/>
    <mergeCell ref="AL13:AO13"/>
    <mergeCell ref="BT13:BV13"/>
    <mergeCell ref="AP13:AQ13"/>
    <mergeCell ref="AR13:AS13"/>
    <mergeCell ref="AT13:AV13"/>
    <mergeCell ref="AW13:BM13"/>
    <mergeCell ref="BN13:BP13"/>
    <mergeCell ref="BQ13:BS13"/>
    <mergeCell ref="AL14:AO14"/>
    <mergeCell ref="AP14:AQ14"/>
    <mergeCell ref="AR14:AS14"/>
    <mergeCell ref="AT14:AV14"/>
    <mergeCell ref="AD11:AG11"/>
    <mergeCell ref="AH11:AK11"/>
    <mergeCell ref="AL11:AO11"/>
    <mergeCell ref="AW12:BM12"/>
    <mergeCell ref="BN12:BP12"/>
    <mergeCell ref="AR16:AS16"/>
    <mergeCell ref="AT16:AV16"/>
    <mergeCell ref="AW14:BM14"/>
    <mergeCell ref="BN14:BP14"/>
    <mergeCell ref="BQ14:BS14"/>
    <mergeCell ref="BT14:BV14"/>
    <mergeCell ref="C15:G15"/>
    <mergeCell ref="H15:Y15"/>
    <mergeCell ref="Z15:AC15"/>
    <mergeCell ref="AD15:AG15"/>
    <mergeCell ref="AH15:AK15"/>
    <mergeCell ref="AL15:AO15"/>
    <mergeCell ref="BT15:BV15"/>
    <mergeCell ref="AP15:AQ15"/>
    <mergeCell ref="AR15:AS15"/>
    <mergeCell ref="AT15:AV15"/>
    <mergeCell ref="AW15:BM15"/>
    <mergeCell ref="BN15:BP15"/>
    <mergeCell ref="BQ15:BS15"/>
    <mergeCell ref="C14:G14"/>
    <mergeCell ref="H14:Y14"/>
    <mergeCell ref="Z14:AC14"/>
    <mergeCell ref="AD14:AG14"/>
    <mergeCell ref="AH14:AK14"/>
    <mergeCell ref="AW16:BM16"/>
    <mergeCell ref="BN16:BP16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C16:G16"/>
    <mergeCell ref="H16:Y16"/>
    <mergeCell ref="Z16:AC16"/>
    <mergeCell ref="AD16:AG16"/>
    <mergeCell ref="AH16:AK16"/>
    <mergeCell ref="AL16:AO16"/>
    <mergeCell ref="AP16:AQ16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C642CE5-94BA-455D-843E-F4BD1825823D}">
          <x14:formula1>
            <xm:f>setting!$F$3:$F$11</xm:f>
          </x14:formula1>
          <xm:sqref>AL12:AO21</xm:sqref>
        </x14:dataValidation>
        <x14:dataValidation type="list" allowBlank="1" showInputMessage="1" showErrorMessage="1" xr:uid="{22E2382B-6BC7-42FA-8806-3EC0B24B22BC}">
          <x14:formula1>
            <xm:f>setting!$J$3:$J$7</xm:f>
          </x14:formula1>
          <xm:sqref>BN12:BP21</xm:sqref>
        </x14:dataValidation>
        <x14:dataValidation type="list" allowBlank="1" showInputMessage="1" showErrorMessage="1" xr:uid="{C8531913-2F89-4119-A8D6-C3AE8E11AA88}">
          <x14:formula1>
            <xm:f>setting!$I$3:$I$5</xm:f>
          </x14:formula1>
          <xm:sqref>AT12:AV21</xm:sqref>
        </x14:dataValidation>
        <x14:dataValidation type="list" allowBlank="1" showInputMessage="1" showErrorMessage="1" xr:uid="{0C3D6372-651D-4F70-B50C-B9502FBF8624}">
          <x14:formula1>
            <xm:f>setting!$H$3</xm:f>
          </x14:formula1>
          <xm:sqref>AR12:AS21</xm:sqref>
        </x14:dataValidation>
        <x14:dataValidation type="list" allowBlank="1" showInputMessage="1" showErrorMessage="1" xr:uid="{CB398694-5604-4A6E-9837-9146856DE40F}">
          <x14:formula1>
            <xm:f>setting!$G$3:$G$5</xm:f>
          </x14:formula1>
          <xm:sqref>AP12:AQ21</xm:sqref>
        </x14:dataValidation>
        <x14:dataValidation type="list" allowBlank="1" showInputMessage="1" showErrorMessage="1" xr:uid="{5FE48704-AE34-46B7-9774-7E1F4907C53C}">
          <x14:formula1>
            <xm:f>setting!$E$3:$E$11</xm:f>
          </x14:formula1>
          <xm:sqref>AH12:AK21</xm:sqref>
        </x14:dataValidation>
        <x14:dataValidation type="list" allowBlank="1" showInputMessage="1" showErrorMessage="1" xr:uid="{83A5DCB8-29F2-42C3-B8FF-95D4F6016932}">
          <x14:formula1>
            <xm:f>setting!$D$3:$D$14</xm:f>
          </x14:formula1>
          <xm:sqref>AD12:AG21</xm:sqref>
        </x14:dataValidation>
        <x14:dataValidation type="list" allowBlank="1" showInputMessage="1" showErrorMessage="1" xr:uid="{BA13A8BB-436D-485C-A080-6709D9685C9E}">
          <x14:formula1>
            <xm:f>setting!$C$3:$C$9</xm:f>
          </x14:formula1>
          <xm:sqref>Z12:AC21</xm:sqref>
        </x14:dataValidation>
        <x14:dataValidation type="list" allowBlank="1" showInputMessage="1" xr:uid="{8564CF49-DE48-4E66-A4F8-F66B17BA43DD}">
          <x14:formula1>
            <xm:f>setting!$B$3:$B$11</xm:f>
          </x14:formula1>
          <xm:sqref>G6:U6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E3DE-DB49-4DE1-B11F-43E6F9C18999}">
  <dimension ref="B2:BV21"/>
  <sheetViews>
    <sheetView zoomScale="85" zoomScaleNormal="85" workbookViewId="0">
      <selection activeCell="H12" sqref="H12:Y12"/>
    </sheetView>
  </sheetViews>
  <sheetFormatPr defaultColWidth="3.58203125" defaultRowHeight="18" x14ac:dyDescent="0.55000000000000004"/>
  <cols>
    <col min="1" max="1" width="3.58203125" style="3"/>
    <col min="2" max="2" width="4.25" style="3" bestFit="1" customWidth="1"/>
    <col min="3" max="16384" width="3.58203125" style="3"/>
  </cols>
  <sheetData>
    <row r="2" spans="2:74" x14ac:dyDescent="0.55000000000000004">
      <c r="B2" s="31" t="s">
        <v>78</v>
      </c>
      <c r="C2" s="31"/>
      <c r="D2" s="31"/>
      <c r="E2" s="31"/>
      <c r="F2" s="31"/>
      <c r="G2" s="13" t="s">
        <v>0</v>
      </c>
      <c r="H2" s="14"/>
      <c r="I2" s="14"/>
      <c r="J2" s="14"/>
      <c r="K2" s="15"/>
      <c r="L2" s="19" t="s">
        <v>79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5" t="s">
        <v>2</v>
      </c>
      <c r="AD2" s="25"/>
      <c r="AE2" s="25"/>
      <c r="AF2" s="29"/>
      <c r="AG2" s="29"/>
      <c r="AH2" s="29"/>
      <c r="AI2" s="29"/>
    </row>
    <row r="3" spans="2:74" x14ac:dyDescent="0.55000000000000004">
      <c r="B3" s="31"/>
      <c r="C3" s="31"/>
      <c r="D3" s="31"/>
      <c r="E3" s="31"/>
      <c r="F3" s="31"/>
      <c r="G3" s="16"/>
      <c r="H3" s="17"/>
      <c r="I3" s="17"/>
      <c r="J3" s="17"/>
      <c r="K3" s="18"/>
      <c r="L3" s="2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25" t="s">
        <v>1</v>
      </c>
      <c r="AD3" s="25"/>
      <c r="AE3" s="25"/>
      <c r="AF3" s="30"/>
      <c r="AG3" s="30"/>
      <c r="AH3" s="30"/>
      <c r="AI3" s="30"/>
    </row>
    <row r="5" spans="2:74" x14ac:dyDescent="0.55000000000000004">
      <c r="B5" s="25" t="s">
        <v>7</v>
      </c>
      <c r="C5" s="25"/>
      <c r="D5" s="25"/>
      <c r="E5" s="25"/>
      <c r="F5" s="25"/>
      <c r="G5" s="32" t="s">
        <v>83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47" t="s">
        <v>74</v>
      </c>
      <c r="W5" s="25"/>
      <c r="X5" s="25"/>
      <c r="Y5" s="25"/>
      <c r="Z5" s="25"/>
      <c r="AA5" s="43" t="s">
        <v>86</v>
      </c>
      <c r="AB5" s="36"/>
      <c r="AC5" s="36"/>
      <c r="AD5" s="36"/>
      <c r="AE5" s="36"/>
      <c r="AF5" s="36"/>
      <c r="AG5" s="36"/>
      <c r="AH5" s="36"/>
      <c r="AI5" s="36"/>
    </row>
    <row r="6" spans="2:74" x14ac:dyDescent="0.55000000000000004">
      <c r="B6" s="25" t="s">
        <v>8</v>
      </c>
      <c r="C6" s="25"/>
      <c r="D6" s="25"/>
      <c r="E6" s="25"/>
      <c r="F6" s="25"/>
      <c r="G6" s="32" t="s">
        <v>52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25"/>
      <c r="X6" s="25"/>
      <c r="Y6" s="25"/>
      <c r="Z6" s="25"/>
      <c r="AA6" s="36"/>
      <c r="AB6" s="36"/>
      <c r="AC6" s="36"/>
      <c r="AD6" s="36"/>
      <c r="AE6" s="36"/>
      <c r="AF6" s="36"/>
      <c r="AG6" s="36"/>
      <c r="AH6" s="36"/>
      <c r="AI6" s="36"/>
    </row>
    <row r="7" spans="2:74" x14ac:dyDescent="0.55000000000000004">
      <c r="B7" s="25" t="s">
        <v>22</v>
      </c>
      <c r="C7" s="25"/>
      <c r="D7" s="25"/>
      <c r="E7" s="25"/>
      <c r="F7" s="25"/>
      <c r="G7" s="25" t="s">
        <v>5</v>
      </c>
      <c r="H7" s="25"/>
      <c r="I7" s="29">
        <v>45827</v>
      </c>
      <c r="J7" s="29"/>
      <c r="K7" s="29"/>
      <c r="L7" s="29"/>
      <c r="M7" s="25" t="s">
        <v>23</v>
      </c>
      <c r="N7" s="25"/>
      <c r="O7" s="34"/>
      <c r="P7" s="30"/>
      <c r="Q7" s="35"/>
      <c r="R7" s="4" t="s">
        <v>21</v>
      </c>
      <c r="S7" s="33"/>
      <c r="T7" s="30"/>
      <c r="U7" s="30"/>
      <c r="V7" s="25"/>
      <c r="W7" s="25"/>
      <c r="X7" s="25"/>
      <c r="Y7" s="25"/>
      <c r="Z7" s="25"/>
      <c r="AA7" s="36"/>
      <c r="AB7" s="36"/>
      <c r="AC7" s="36"/>
      <c r="AD7" s="36"/>
      <c r="AE7" s="36"/>
      <c r="AF7" s="36"/>
      <c r="AG7" s="36"/>
      <c r="AH7" s="36"/>
      <c r="AI7" s="36"/>
    </row>
    <row r="8" spans="2:74" x14ac:dyDescent="0.55000000000000004">
      <c r="B8" s="25" t="s">
        <v>3</v>
      </c>
      <c r="C8" s="25"/>
      <c r="D8" s="25"/>
      <c r="E8" s="25"/>
      <c r="F8" s="25"/>
      <c r="G8" s="32" t="s">
        <v>84</v>
      </c>
      <c r="H8" s="32"/>
      <c r="I8" s="32"/>
      <c r="J8" s="32"/>
      <c r="K8" s="32"/>
      <c r="L8" s="32"/>
      <c r="M8" s="25" t="s">
        <v>4</v>
      </c>
      <c r="N8" s="25"/>
      <c r="O8" s="25"/>
      <c r="P8" s="25"/>
      <c r="Q8" s="25"/>
      <c r="R8" s="32" t="s">
        <v>85</v>
      </c>
      <c r="S8" s="32"/>
      <c r="T8" s="32"/>
      <c r="U8" s="32"/>
      <c r="V8" s="25"/>
      <c r="W8" s="25"/>
      <c r="X8" s="25"/>
      <c r="Y8" s="25"/>
      <c r="Z8" s="25"/>
      <c r="AA8" s="36"/>
      <c r="AB8" s="36"/>
      <c r="AC8" s="36"/>
      <c r="AD8" s="36"/>
      <c r="AE8" s="36"/>
      <c r="AF8" s="36"/>
      <c r="AG8" s="36"/>
      <c r="AH8" s="36"/>
      <c r="AI8" s="36"/>
    </row>
    <row r="9" spans="2:74" x14ac:dyDescent="0.55000000000000004">
      <c r="B9" s="25" t="s">
        <v>20</v>
      </c>
      <c r="C9" s="25"/>
      <c r="D9" s="25"/>
      <c r="E9" s="25"/>
      <c r="F9" s="25"/>
      <c r="G9" s="32">
        <v>8</v>
      </c>
      <c r="H9" s="32"/>
      <c r="I9" s="32"/>
      <c r="J9" s="44" t="s">
        <v>6</v>
      </c>
      <c r="K9" s="45"/>
      <c r="L9" s="46"/>
      <c r="M9" s="26">
        <f>(S7-O7)*24</f>
        <v>0</v>
      </c>
      <c r="N9" s="27"/>
      <c r="O9" s="28"/>
      <c r="P9" s="44" t="s">
        <v>60</v>
      </c>
      <c r="Q9" s="45"/>
      <c r="R9" s="46"/>
      <c r="S9" s="26">
        <f>G9*M9</f>
        <v>0</v>
      </c>
      <c r="T9" s="27"/>
      <c r="U9" s="28"/>
      <c r="V9" s="25"/>
      <c r="W9" s="25"/>
      <c r="X9" s="25"/>
      <c r="Y9" s="25"/>
      <c r="Z9" s="25"/>
      <c r="AA9" s="36"/>
      <c r="AB9" s="36"/>
      <c r="AC9" s="36"/>
      <c r="AD9" s="36"/>
      <c r="AE9" s="36"/>
      <c r="AF9" s="36"/>
      <c r="AG9" s="36"/>
      <c r="AH9" s="36"/>
      <c r="AI9" s="36"/>
    </row>
    <row r="10" spans="2:74" s="8" customFormat="1" x14ac:dyDescent="0.55000000000000004"/>
    <row r="11" spans="2:74" x14ac:dyDescent="0.55000000000000004">
      <c r="B11" s="11" t="s">
        <v>9</v>
      </c>
      <c r="C11" s="25" t="s">
        <v>77</v>
      </c>
      <c r="D11" s="25"/>
      <c r="E11" s="25"/>
      <c r="F11" s="25"/>
      <c r="G11" s="25"/>
      <c r="H11" s="25" t="s">
        <v>10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24</v>
      </c>
      <c r="AA11" s="25"/>
      <c r="AB11" s="25"/>
      <c r="AC11" s="25"/>
      <c r="AD11" s="25" t="s">
        <v>76</v>
      </c>
      <c r="AE11" s="25"/>
      <c r="AF11" s="25"/>
      <c r="AG11" s="25"/>
      <c r="AH11" s="25" t="s">
        <v>25</v>
      </c>
      <c r="AI11" s="25"/>
      <c r="AJ11" s="25"/>
      <c r="AK11" s="25"/>
      <c r="AL11" s="25" t="s">
        <v>11</v>
      </c>
      <c r="AM11" s="25"/>
      <c r="AN11" s="25"/>
      <c r="AO11" s="25"/>
      <c r="AP11" s="25" t="s">
        <v>12</v>
      </c>
      <c r="AQ11" s="25"/>
      <c r="AR11" s="25" t="s">
        <v>17</v>
      </c>
      <c r="AS11" s="25"/>
      <c r="AT11" s="25" t="s">
        <v>13</v>
      </c>
      <c r="AU11" s="25"/>
      <c r="AV11" s="25"/>
      <c r="AW11" s="25" t="s">
        <v>14</v>
      </c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73</v>
      </c>
      <c r="BO11" s="25"/>
      <c r="BP11" s="25"/>
      <c r="BQ11" s="25" t="s">
        <v>15</v>
      </c>
      <c r="BR11" s="25"/>
      <c r="BS11" s="25"/>
      <c r="BT11" s="25" t="s">
        <v>16</v>
      </c>
      <c r="BU11" s="25"/>
      <c r="BV11" s="25"/>
    </row>
    <row r="12" spans="2:74" ht="36" customHeight="1" x14ac:dyDescent="0.55000000000000004">
      <c r="B12" s="12">
        <v>1</v>
      </c>
      <c r="C12" s="39" t="s">
        <v>87</v>
      </c>
      <c r="D12" s="40"/>
      <c r="E12" s="40"/>
      <c r="F12" s="40"/>
      <c r="G12" s="41"/>
      <c r="H12" s="39" t="s">
        <v>88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 t="s">
        <v>65</v>
      </c>
      <c r="AU12" s="37"/>
      <c r="AV12" s="37"/>
      <c r="AW12" s="36" t="s">
        <v>92</v>
      </c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7" t="s">
        <v>72</v>
      </c>
      <c r="BO12" s="37"/>
      <c r="BP12" s="37"/>
      <c r="BQ12" s="37" t="s">
        <v>93</v>
      </c>
      <c r="BR12" s="37"/>
      <c r="BS12" s="37"/>
      <c r="BT12" s="38">
        <v>45828</v>
      </c>
      <c r="BU12" s="37"/>
      <c r="BV12" s="37"/>
    </row>
    <row r="13" spans="2:74" ht="36" customHeight="1" x14ac:dyDescent="0.55000000000000004">
      <c r="B13" s="12">
        <v>2</v>
      </c>
      <c r="C13" s="39" t="s">
        <v>89</v>
      </c>
      <c r="D13" s="40"/>
      <c r="E13" s="40"/>
      <c r="F13" s="40"/>
      <c r="G13" s="41"/>
      <c r="H13" s="39" t="s">
        <v>90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 t="s">
        <v>65</v>
      </c>
      <c r="AU13" s="37"/>
      <c r="AV13" s="37"/>
      <c r="AW13" s="36" t="s">
        <v>91</v>
      </c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 t="s">
        <v>72</v>
      </c>
      <c r="BO13" s="37"/>
      <c r="BP13" s="37"/>
      <c r="BQ13" s="37" t="s">
        <v>93</v>
      </c>
      <c r="BR13" s="37"/>
      <c r="BS13" s="37"/>
      <c r="BT13" s="38">
        <v>45828</v>
      </c>
      <c r="BU13" s="37"/>
      <c r="BV13" s="37"/>
    </row>
    <row r="14" spans="2:74" ht="36" customHeight="1" x14ac:dyDescent="0.55000000000000004">
      <c r="B14" s="12">
        <v>3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7"/>
      <c r="BO14" s="37"/>
      <c r="BP14" s="37"/>
      <c r="BQ14" s="37"/>
      <c r="BR14" s="37"/>
      <c r="BS14" s="37"/>
      <c r="BT14" s="38"/>
      <c r="BU14" s="37"/>
      <c r="BV14" s="37"/>
    </row>
    <row r="15" spans="2:74" ht="36" customHeight="1" x14ac:dyDescent="0.55000000000000004">
      <c r="B15" s="12">
        <v>4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/>
      <c r="BO15" s="37"/>
      <c r="BP15" s="37"/>
      <c r="BQ15" s="37"/>
      <c r="BR15" s="37"/>
      <c r="BS15" s="37"/>
      <c r="BT15" s="38"/>
      <c r="BU15" s="37"/>
      <c r="BV15" s="37"/>
    </row>
    <row r="16" spans="2:74" ht="36" customHeight="1" x14ac:dyDescent="0.55000000000000004">
      <c r="B16" s="12">
        <v>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/>
      <c r="BO16" s="37"/>
      <c r="BP16" s="37"/>
      <c r="BQ16" s="37"/>
      <c r="BR16" s="37"/>
      <c r="BS16" s="37"/>
      <c r="BT16" s="38"/>
      <c r="BU16" s="37"/>
      <c r="BV16" s="37"/>
    </row>
    <row r="17" spans="2:74" ht="36" customHeight="1" x14ac:dyDescent="0.55000000000000004">
      <c r="B17" s="12">
        <v>6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  <c r="BO17" s="37"/>
      <c r="BP17" s="37"/>
      <c r="BQ17" s="37"/>
      <c r="BR17" s="37"/>
      <c r="BS17" s="37"/>
      <c r="BT17" s="38"/>
      <c r="BU17" s="37"/>
      <c r="BV17" s="37"/>
    </row>
    <row r="18" spans="2:74" ht="36" customHeight="1" x14ac:dyDescent="0.55000000000000004">
      <c r="B18" s="12">
        <v>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  <c r="BO18" s="37"/>
      <c r="BP18" s="37"/>
      <c r="BQ18" s="37"/>
      <c r="BR18" s="37"/>
      <c r="BS18" s="37"/>
      <c r="BT18" s="38"/>
      <c r="BU18" s="37"/>
      <c r="BV18" s="37"/>
    </row>
    <row r="19" spans="2:74" ht="36" customHeight="1" x14ac:dyDescent="0.55000000000000004">
      <c r="B19" s="12">
        <v>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  <c r="BO19" s="37"/>
      <c r="BP19" s="37"/>
      <c r="BQ19" s="37"/>
      <c r="BR19" s="37"/>
      <c r="BS19" s="37"/>
      <c r="BT19" s="38"/>
      <c r="BU19" s="37"/>
      <c r="BV19" s="37"/>
    </row>
    <row r="20" spans="2:74" ht="36" customHeight="1" x14ac:dyDescent="0.55000000000000004">
      <c r="B20" s="12">
        <v>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  <c r="BO20" s="37"/>
      <c r="BP20" s="37"/>
      <c r="BQ20" s="37"/>
      <c r="BR20" s="37"/>
      <c r="BS20" s="37"/>
      <c r="BT20" s="38"/>
      <c r="BU20" s="37"/>
      <c r="BV20" s="37"/>
    </row>
    <row r="21" spans="2:74" ht="36" customHeight="1" x14ac:dyDescent="0.55000000000000004">
      <c r="B21" s="12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  <c r="BO21" s="37"/>
      <c r="BP21" s="37"/>
      <c r="BQ21" s="37"/>
      <c r="BR21" s="37"/>
      <c r="BS21" s="37"/>
      <c r="BT21" s="38"/>
      <c r="BU21" s="37"/>
      <c r="BV21" s="37"/>
    </row>
  </sheetData>
  <mergeCells count="172">
    <mergeCell ref="B2:F3"/>
    <mergeCell ref="G2:K3"/>
    <mergeCell ref="L2:AB3"/>
    <mergeCell ref="AC2:AE2"/>
    <mergeCell ref="AF2:AI2"/>
    <mergeCell ref="AC3:AE3"/>
    <mergeCell ref="AF3:AI3"/>
    <mergeCell ref="B5:F5"/>
    <mergeCell ref="G5:U5"/>
    <mergeCell ref="V5:Z9"/>
    <mergeCell ref="AA5:AI9"/>
    <mergeCell ref="B6:F6"/>
    <mergeCell ref="G6:U6"/>
    <mergeCell ref="B7:F7"/>
    <mergeCell ref="G7:H7"/>
    <mergeCell ref="I7:L7"/>
    <mergeCell ref="M7:N7"/>
    <mergeCell ref="B9:F9"/>
    <mergeCell ref="G9:I9"/>
    <mergeCell ref="J9:L9"/>
    <mergeCell ref="M9:O9"/>
    <mergeCell ref="P9:R9"/>
    <mergeCell ref="S9:U9"/>
    <mergeCell ref="O7:Q7"/>
    <mergeCell ref="S7:U7"/>
    <mergeCell ref="B8:F8"/>
    <mergeCell ref="G8:L8"/>
    <mergeCell ref="M8:Q8"/>
    <mergeCell ref="R8:U8"/>
    <mergeCell ref="BT11:BV11"/>
    <mergeCell ref="C12:G12"/>
    <mergeCell ref="H12:Y12"/>
    <mergeCell ref="Z12:AC12"/>
    <mergeCell ref="AD12:AG12"/>
    <mergeCell ref="AH12:AK12"/>
    <mergeCell ref="AL12:AO12"/>
    <mergeCell ref="AP12:AQ12"/>
    <mergeCell ref="AR12:AS12"/>
    <mergeCell ref="AT12:AV12"/>
    <mergeCell ref="AP11:AQ11"/>
    <mergeCell ref="AR11:AS11"/>
    <mergeCell ref="AT11:AV11"/>
    <mergeCell ref="AW11:BM11"/>
    <mergeCell ref="BN11:BP11"/>
    <mergeCell ref="BQ11:BS11"/>
    <mergeCell ref="C11:G11"/>
    <mergeCell ref="H11:Y11"/>
    <mergeCell ref="Z11:AC11"/>
    <mergeCell ref="BQ12:BS12"/>
    <mergeCell ref="BT12:BV12"/>
    <mergeCell ref="C13:G13"/>
    <mergeCell ref="H13:Y13"/>
    <mergeCell ref="Z13:AC13"/>
    <mergeCell ref="AD13:AG13"/>
    <mergeCell ref="AH13:AK13"/>
    <mergeCell ref="AL13:AO13"/>
    <mergeCell ref="BT13:BV13"/>
    <mergeCell ref="AP13:AQ13"/>
    <mergeCell ref="AR13:AS13"/>
    <mergeCell ref="AT13:AV13"/>
    <mergeCell ref="AW13:BM13"/>
    <mergeCell ref="BN13:BP13"/>
    <mergeCell ref="BQ13:BS13"/>
    <mergeCell ref="AL14:AO14"/>
    <mergeCell ref="AP14:AQ14"/>
    <mergeCell ref="AR14:AS14"/>
    <mergeCell ref="AT14:AV14"/>
    <mergeCell ref="AD11:AG11"/>
    <mergeCell ref="AH11:AK11"/>
    <mergeCell ref="AL11:AO11"/>
    <mergeCell ref="AW12:BM12"/>
    <mergeCell ref="BN12:BP12"/>
    <mergeCell ref="AR16:AS16"/>
    <mergeCell ref="AT16:AV16"/>
    <mergeCell ref="AW14:BM14"/>
    <mergeCell ref="BN14:BP14"/>
    <mergeCell ref="BQ14:BS14"/>
    <mergeCell ref="BT14:BV14"/>
    <mergeCell ref="C15:G15"/>
    <mergeCell ref="H15:Y15"/>
    <mergeCell ref="Z15:AC15"/>
    <mergeCell ref="AD15:AG15"/>
    <mergeCell ref="AH15:AK15"/>
    <mergeCell ref="AL15:AO15"/>
    <mergeCell ref="BT15:BV15"/>
    <mergeCell ref="AP15:AQ15"/>
    <mergeCell ref="AR15:AS15"/>
    <mergeCell ref="AT15:AV15"/>
    <mergeCell ref="AW15:BM15"/>
    <mergeCell ref="BN15:BP15"/>
    <mergeCell ref="BQ15:BS15"/>
    <mergeCell ref="C14:G14"/>
    <mergeCell ref="H14:Y14"/>
    <mergeCell ref="Z14:AC14"/>
    <mergeCell ref="AD14:AG14"/>
    <mergeCell ref="AH14:AK14"/>
    <mergeCell ref="AW16:BM16"/>
    <mergeCell ref="BN16:BP16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C16:G16"/>
    <mergeCell ref="H16:Y16"/>
    <mergeCell ref="Z16:AC16"/>
    <mergeCell ref="AD16:AG16"/>
    <mergeCell ref="AH16:AK16"/>
    <mergeCell ref="AL16:AO16"/>
    <mergeCell ref="AP16:AQ16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351D1A56-D49F-4FAF-98B9-4FFFE50E177D}">
          <x14:formula1>
            <xm:f>setting!$B$3:$B$11</xm:f>
          </x14:formula1>
          <xm:sqref>G6:U6</xm:sqref>
        </x14:dataValidation>
        <x14:dataValidation type="list" allowBlank="1" showInputMessage="1" showErrorMessage="1" xr:uid="{6FBEAC48-AE3D-485F-80A5-03A468CB350B}">
          <x14:formula1>
            <xm:f>setting!$C$3:$C$9</xm:f>
          </x14:formula1>
          <xm:sqref>Z12:AC21</xm:sqref>
        </x14:dataValidation>
        <x14:dataValidation type="list" allowBlank="1" showInputMessage="1" showErrorMessage="1" xr:uid="{FCC5276E-42BF-41C8-9F25-E3FC2F54B9F5}">
          <x14:formula1>
            <xm:f>setting!$D$3:$D$14</xm:f>
          </x14:formula1>
          <xm:sqref>AD12:AG21</xm:sqref>
        </x14:dataValidation>
        <x14:dataValidation type="list" allowBlank="1" showInputMessage="1" showErrorMessage="1" xr:uid="{46488E9F-9981-4C10-A6A6-01ABFB6798B4}">
          <x14:formula1>
            <xm:f>setting!$E$3:$E$11</xm:f>
          </x14:formula1>
          <xm:sqref>AH12:AK21</xm:sqref>
        </x14:dataValidation>
        <x14:dataValidation type="list" allowBlank="1" showInputMessage="1" showErrorMessage="1" xr:uid="{6143EAD0-9345-40F8-A152-4406B0C6AD25}">
          <x14:formula1>
            <xm:f>setting!$G$3:$G$5</xm:f>
          </x14:formula1>
          <xm:sqref>AP12:AQ21</xm:sqref>
        </x14:dataValidation>
        <x14:dataValidation type="list" allowBlank="1" showInputMessage="1" showErrorMessage="1" xr:uid="{4BD9F996-3338-4357-B352-1B64EA3C76AB}">
          <x14:formula1>
            <xm:f>setting!$H$3</xm:f>
          </x14:formula1>
          <xm:sqref>AR12:AS21</xm:sqref>
        </x14:dataValidation>
        <x14:dataValidation type="list" allowBlank="1" showInputMessage="1" showErrorMessage="1" xr:uid="{EEFBAB35-05FB-4C8C-9456-1AAF1F184120}">
          <x14:formula1>
            <xm:f>setting!$I$3:$I$5</xm:f>
          </x14:formula1>
          <xm:sqref>AT12:AV21</xm:sqref>
        </x14:dataValidation>
        <x14:dataValidation type="list" allowBlank="1" showInputMessage="1" showErrorMessage="1" xr:uid="{A7754C32-8D16-42B3-AE2E-7BD234CA3369}">
          <x14:formula1>
            <xm:f>setting!$J$3:$J$7</xm:f>
          </x14:formula1>
          <xm:sqref>BN12:BP21</xm:sqref>
        </x14:dataValidation>
        <x14:dataValidation type="list" allowBlank="1" showInputMessage="1" showErrorMessage="1" xr:uid="{2C06DF3B-86B0-4BBC-BB76-A3BB3A5AF703}">
          <x14:formula1>
            <xm:f>setting!$F$3:$F$11</xm:f>
          </x14:formula1>
          <xm:sqref>AL12:AO21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1689-5457-438E-B6C9-B252ED522B83}">
  <dimension ref="B2:BV21"/>
  <sheetViews>
    <sheetView zoomScale="85" zoomScaleNormal="85" workbookViewId="0"/>
  </sheetViews>
  <sheetFormatPr defaultColWidth="3.58203125" defaultRowHeight="18" x14ac:dyDescent="0.55000000000000004"/>
  <cols>
    <col min="1" max="1" width="3.58203125" style="3"/>
    <col min="2" max="2" width="4.25" style="3" bestFit="1" customWidth="1"/>
    <col min="3" max="16384" width="3.58203125" style="3"/>
  </cols>
  <sheetData>
    <row r="2" spans="2:74" x14ac:dyDescent="0.55000000000000004">
      <c r="B2" s="31" t="s">
        <v>78</v>
      </c>
      <c r="C2" s="31"/>
      <c r="D2" s="31"/>
      <c r="E2" s="31"/>
      <c r="F2" s="31"/>
      <c r="G2" s="13" t="s">
        <v>0</v>
      </c>
      <c r="H2" s="14"/>
      <c r="I2" s="14"/>
      <c r="J2" s="14"/>
      <c r="K2" s="15"/>
      <c r="L2" s="19" t="s">
        <v>79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5" t="s">
        <v>2</v>
      </c>
      <c r="AD2" s="25"/>
      <c r="AE2" s="25"/>
      <c r="AF2" s="29"/>
      <c r="AG2" s="29"/>
      <c r="AH2" s="29"/>
      <c r="AI2" s="29"/>
    </row>
    <row r="3" spans="2:74" x14ac:dyDescent="0.55000000000000004">
      <c r="B3" s="31"/>
      <c r="C3" s="31"/>
      <c r="D3" s="31"/>
      <c r="E3" s="31"/>
      <c r="F3" s="31"/>
      <c r="G3" s="16"/>
      <c r="H3" s="17"/>
      <c r="I3" s="17"/>
      <c r="J3" s="17"/>
      <c r="K3" s="18"/>
      <c r="L3" s="2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4"/>
      <c r="AC3" s="25" t="s">
        <v>1</v>
      </c>
      <c r="AD3" s="25"/>
      <c r="AE3" s="25"/>
      <c r="AF3" s="30"/>
      <c r="AG3" s="30"/>
      <c r="AH3" s="30"/>
      <c r="AI3" s="30"/>
    </row>
    <row r="5" spans="2:74" x14ac:dyDescent="0.55000000000000004">
      <c r="B5" s="25" t="s">
        <v>7</v>
      </c>
      <c r="C5" s="25"/>
      <c r="D5" s="25"/>
      <c r="E5" s="25"/>
      <c r="F5" s="25"/>
      <c r="G5" s="32" t="s">
        <v>126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47" t="s">
        <v>74</v>
      </c>
      <c r="W5" s="25"/>
      <c r="X5" s="25"/>
      <c r="Y5" s="25"/>
      <c r="Z5" s="25"/>
      <c r="AA5" s="43" t="s">
        <v>129</v>
      </c>
      <c r="AB5" s="36"/>
      <c r="AC5" s="36"/>
      <c r="AD5" s="36"/>
      <c r="AE5" s="36"/>
      <c r="AF5" s="36"/>
      <c r="AG5" s="36"/>
      <c r="AH5" s="36"/>
      <c r="AI5" s="36"/>
    </row>
    <row r="6" spans="2:74" x14ac:dyDescent="0.55000000000000004">
      <c r="B6" s="25" t="s">
        <v>8</v>
      </c>
      <c r="C6" s="25"/>
      <c r="D6" s="25"/>
      <c r="E6" s="25"/>
      <c r="F6" s="25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25"/>
      <c r="X6" s="25"/>
      <c r="Y6" s="25"/>
      <c r="Z6" s="25"/>
      <c r="AA6" s="36"/>
      <c r="AB6" s="36"/>
      <c r="AC6" s="36"/>
      <c r="AD6" s="36"/>
      <c r="AE6" s="36"/>
      <c r="AF6" s="36"/>
      <c r="AG6" s="36"/>
      <c r="AH6" s="36"/>
      <c r="AI6" s="36"/>
    </row>
    <row r="7" spans="2:74" x14ac:dyDescent="0.55000000000000004">
      <c r="B7" s="25" t="s">
        <v>22</v>
      </c>
      <c r="C7" s="25"/>
      <c r="D7" s="25"/>
      <c r="E7" s="25"/>
      <c r="F7" s="25"/>
      <c r="G7" s="25" t="s">
        <v>5</v>
      </c>
      <c r="H7" s="25"/>
      <c r="I7" s="29">
        <v>45832</v>
      </c>
      <c r="J7" s="29"/>
      <c r="K7" s="29"/>
      <c r="L7" s="29"/>
      <c r="M7" s="25" t="s">
        <v>23</v>
      </c>
      <c r="N7" s="25"/>
      <c r="O7" s="34"/>
      <c r="P7" s="30"/>
      <c r="Q7" s="35"/>
      <c r="R7" s="4" t="s">
        <v>21</v>
      </c>
      <c r="S7" s="33"/>
      <c r="T7" s="30"/>
      <c r="U7" s="30"/>
      <c r="V7" s="25"/>
      <c r="W7" s="25"/>
      <c r="X7" s="25"/>
      <c r="Y7" s="25"/>
      <c r="Z7" s="25"/>
      <c r="AA7" s="36"/>
      <c r="AB7" s="36"/>
      <c r="AC7" s="36"/>
      <c r="AD7" s="36"/>
      <c r="AE7" s="36"/>
      <c r="AF7" s="36"/>
      <c r="AG7" s="36"/>
      <c r="AH7" s="36"/>
      <c r="AI7" s="36"/>
    </row>
    <row r="8" spans="2:74" x14ac:dyDescent="0.55000000000000004">
      <c r="B8" s="25" t="s">
        <v>3</v>
      </c>
      <c r="C8" s="25"/>
      <c r="D8" s="25"/>
      <c r="E8" s="25"/>
      <c r="F8" s="25"/>
      <c r="G8" s="32" t="s">
        <v>127</v>
      </c>
      <c r="H8" s="32"/>
      <c r="I8" s="32"/>
      <c r="J8" s="32"/>
      <c r="K8" s="32"/>
      <c r="L8" s="32"/>
      <c r="M8" s="25" t="s">
        <v>4</v>
      </c>
      <c r="N8" s="25"/>
      <c r="O8" s="25"/>
      <c r="P8" s="25"/>
      <c r="Q8" s="25"/>
      <c r="R8" s="32" t="s">
        <v>128</v>
      </c>
      <c r="S8" s="32"/>
      <c r="T8" s="32"/>
      <c r="U8" s="32"/>
      <c r="V8" s="25"/>
      <c r="W8" s="25"/>
      <c r="X8" s="25"/>
      <c r="Y8" s="25"/>
      <c r="Z8" s="25"/>
      <c r="AA8" s="36"/>
      <c r="AB8" s="36"/>
      <c r="AC8" s="36"/>
      <c r="AD8" s="36"/>
      <c r="AE8" s="36"/>
      <c r="AF8" s="36"/>
      <c r="AG8" s="36"/>
      <c r="AH8" s="36"/>
      <c r="AI8" s="36"/>
    </row>
    <row r="9" spans="2:74" x14ac:dyDescent="0.55000000000000004">
      <c r="B9" s="25" t="s">
        <v>20</v>
      </c>
      <c r="C9" s="25"/>
      <c r="D9" s="25"/>
      <c r="E9" s="25"/>
      <c r="F9" s="25"/>
      <c r="G9" s="32"/>
      <c r="H9" s="32"/>
      <c r="I9" s="32"/>
      <c r="J9" s="44" t="s">
        <v>6</v>
      </c>
      <c r="K9" s="45"/>
      <c r="L9" s="46"/>
      <c r="M9" s="26">
        <f>(S7-O7)*24</f>
        <v>0</v>
      </c>
      <c r="N9" s="27"/>
      <c r="O9" s="28"/>
      <c r="P9" s="44" t="s">
        <v>60</v>
      </c>
      <c r="Q9" s="45"/>
      <c r="R9" s="46"/>
      <c r="S9" s="26">
        <f>G9*M9</f>
        <v>0</v>
      </c>
      <c r="T9" s="27"/>
      <c r="U9" s="28"/>
      <c r="V9" s="25"/>
      <c r="W9" s="25"/>
      <c r="X9" s="25"/>
      <c r="Y9" s="25"/>
      <c r="Z9" s="25"/>
      <c r="AA9" s="36"/>
      <c r="AB9" s="36"/>
      <c r="AC9" s="36"/>
      <c r="AD9" s="36"/>
      <c r="AE9" s="36"/>
      <c r="AF9" s="36"/>
      <c r="AG9" s="36"/>
      <c r="AH9" s="36"/>
      <c r="AI9" s="36"/>
    </row>
    <row r="10" spans="2:74" s="8" customFormat="1" x14ac:dyDescent="0.55000000000000004"/>
    <row r="11" spans="2:74" x14ac:dyDescent="0.55000000000000004">
      <c r="B11" s="11" t="s">
        <v>9</v>
      </c>
      <c r="C11" s="25" t="s">
        <v>77</v>
      </c>
      <c r="D11" s="25"/>
      <c r="E11" s="25"/>
      <c r="F11" s="25"/>
      <c r="G11" s="25"/>
      <c r="H11" s="25" t="s">
        <v>10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24</v>
      </c>
      <c r="AA11" s="25"/>
      <c r="AB11" s="25"/>
      <c r="AC11" s="25"/>
      <c r="AD11" s="25" t="s">
        <v>76</v>
      </c>
      <c r="AE11" s="25"/>
      <c r="AF11" s="25"/>
      <c r="AG11" s="25"/>
      <c r="AH11" s="25" t="s">
        <v>25</v>
      </c>
      <c r="AI11" s="25"/>
      <c r="AJ11" s="25"/>
      <c r="AK11" s="25"/>
      <c r="AL11" s="25" t="s">
        <v>11</v>
      </c>
      <c r="AM11" s="25"/>
      <c r="AN11" s="25"/>
      <c r="AO11" s="25"/>
      <c r="AP11" s="25" t="s">
        <v>12</v>
      </c>
      <c r="AQ11" s="25"/>
      <c r="AR11" s="25" t="s">
        <v>17</v>
      </c>
      <c r="AS11" s="25"/>
      <c r="AT11" s="25" t="s">
        <v>13</v>
      </c>
      <c r="AU11" s="25"/>
      <c r="AV11" s="25"/>
      <c r="AW11" s="25" t="s">
        <v>14</v>
      </c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73</v>
      </c>
      <c r="BO11" s="25"/>
      <c r="BP11" s="25"/>
      <c r="BQ11" s="25" t="s">
        <v>15</v>
      </c>
      <c r="BR11" s="25"/>
      <c r="BS11" s="25"/>
      <c r="BT11" s="25" t="s">
        <v>16</v>
      </c>
      <c r="BU11" s="25"/>
      <c r="BV11" s="25"/>
    </row>
    <row r="12" spans="2:74" ht="36" customHeight="1" x14ac:dyDescent="0.55000000000000004">
      <c r="B12" s="12">
        <v>1</v>
      </c>
      <c r="C12" s="39"/>
      <c r="D12" s="40"/>
      <c r="E12" s="40"/>
      <c r="F12" s="40"/>
      <c r="G12" s="41"/>
      <c r="H12" s="39" t="s">
        <v>112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 t="s">
        <v>65</v>
      </c>
      <c r="AU12" s="37"/>
      <c r="AV12" s="37"/>
      <c r="AW12" s="36" t="s">
        <v>113</v>
      </c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7"/>
      <c r="BO12" s="37"/>
      <c r="BP12" s="37"/>
      <c r="BQ12" s="37"/>
      <c r="BR12" s="37"/>
      <c r="BS12" s="37"/>
      <c r="BT12" s="38"/>
      <c r="BU12" s="37"/>
      <c r="BV12" s="37"/>
    </row>
    <row r="13" spans="2:74" ht="36" customHeight="1" x14ac:dyDescent="0.55000000000000004">
      <c r="B13" s="12">
        <v>2</v>
      </c>
      <c r="C13" s="39"/>
      <c r="D13" s="40"/>
      <c r="E13" s="40"/>
      <c r="F13" s="40"/>
      <c r="G13" s="41"/>
      <c r="H13" s="39" t="s">
        <v>114</v>
      </c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 t="s">
        <v>65</v>
      </c>
      <c r="AU13" s="37"/>
      <c r="AV13" s="37"/>
      <c r="AW13" s="36" t="s">
        <v>115</v>
      </c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/>
      <c r="BO13" s="37"/>
      <c r="BP13" s="37"/>
      <c r="BQ13" s="37"/>
      <c r="BR13" s="37"/>
      <c r="BS13" s="37"/>
      <c r="BT13" s="38"/>
      <c r="BU13" s="37"/>
      <c r="BV13" s="37"/>
    </row>
    <row r="14" spans="2:74" ht="36" customHeight="1" x14ac:dyDescent="0.55000000000000004">
      <c r="B14" s="12">
        <v>3</v>
      </c>
      <c r="C14" s="36"/>
      <c r="D14" s="36"/>
      <c r="E14" s="36"/>
      <c r="F14" s="36"/>
      <c r="G14" s="36"/>
      <c r="H14" s="36" t="s">
        <v>116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 t="s">
        <v>65</v>
      </c>
      <c r="AU14" s="37"/>
      <c r="AV14" s="37"/>
      <c r="AW14" s="36" t="s">
        <v>117</v>
      </c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7"/>
      <c r="BO14" s="37"/>
      <c r="BP14" s="37"/>
      <c r="BQ14" s="37"/>
      <c r="BR14" s="37"/>
      <c r="BS14" s="37"/>
      <c r="BT14" s="38"/>
      <c r="BU14" s="37"/>
      <c r="BV14" s="37"/>
    </row>
    <row r="15" spans="2:74" ht="36" customHeight="1" x14ac:dyDescent="0.55000000000000004">
      <c r="B15" s="12">
        <v>4</v>
      </c>
      <c r="C15" s="36"/>
      <c r="D15" s="36"/>
      <c r="E15" s="36"/>
      <c r="F15" s="36"/>
      <c r="G15" s="36"/>
      <c r="H15" s="36" t="s">
        <v>118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 t="s">
        <v>65</v>
      </c>
      <c r="AU15" s="37"/>
      <c r="AV15" s="37"/>
      <c r="AW15" s="36" t="s">
        <v>119</v>
      </c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/>
      <c r="BO15" s="37"/>
      <c r="BP15" s="37"/>
      <c r="BQ15" s="37"/>
      <c r="BR15" s="37"/>
      <c r="BS15" s="37"/>
      <c r="BT15" s="38"/>
      <c r="BU15" s="37"/>
      <c r="BV15" s="37"/>
    </row>
    <row r="16" spans="2:74" ht="36" customHeight="1" x14ac:dyDescent="0.55000000000000004">
      <c r="B16" s="12">
        <v>5</v>
      </c>
      <c r="C16" s="36"/>
      <c r="D16" s="36"/>
      <c r="E16" s="36"/>
      <c r="F16" s="36"/>
      <c r="G16" s="36"/>
      <c r="H16" s="36" t="s">
        <v>120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 t="s">
        <v>65</v>
      </c>
      <c r="AU16" s="37"/>
      <c r="AV16" s="37"/>
      <c r="AW16" s="36" t="s">
        <v>121</v>
      </c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/>
      <c r="BO16" s="37"/>
      <c r="BP16" s="37"/>
      <c r="BQ16" s="37"/>
      <c r="BR16" s="37"/>
      <c r="BS16" s="37"/>
      <c r="BT16" s="38"/>
      <c r="BU16" s="37"/>
      <c r="BV16" s="37"/>
    </row>
    <row r="17" spans="2:74" ht="36" customHeight="1" x14ac:dyDescent="0.55000000000000004">
      <c r="B17" s="12">
        <v>6</v>
      </c>
      <c r="C17" s="36"/>
      <c r="D17" s="36"/>
      <c r="E17" s="36"/>
      <c r="F17" s="36"/>
      <c r="G17" s="36"/>
      <c r="H17" s="36" t="s">
        <v>122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 t="s">
        <v>65</v>
      </c>
      <c r="AU17" s="37"/>
      <c r="AV17" s="37"/>
      <c r="AW17" s="36" t="s">
        <v>123</v>
      </c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  <c r="BO17" s="37"/>
      <c r="BP17" s="37"/>
      <c r="BQ17" s="37"/>
      <c r="BR17" s="37"/>
      <c r="BS17" s="37"/>
      <c r="BT17" s="38"/>
      <c r="BU17" s="37"/>
      <c r="BV17" s="37"/>
    </row>
    <row r="18" spans="2:74" ht="36" customHeight="1" x14ac:dyDescent="0.55000000000000004">
      <c r="B18" s="12">
        <v>7</v>
      </c>
      <c r="C18" s="36"/>
      <c r="D18" s="36"/>
      <c r="E18" s="36"/>
      <c r="F18" s="36"/>
      <c r="G18" s="36"/>
      <c r="H18" s="36" t="s">
        <v>124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 t="s">
        <v>65</v>
      </c>
      <c r="AU18" s="37"/>
      <c r="AV18" s="37"/>
      <c r="AW18" s="36" t="s">
        <v>125</v>
      </c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  <c r="BO18" s="37"/>
      <c r="BP18" s="37"/>
      <c r="BQ18" s="37"/>
      <c r="BR18" s="37"/>
      <c r="BS18" s="37"/>
      <c r="BT18" s="38"/>
      <c r="BU18" s="37"/>
      <c r="BV18" s="37"/>
    </row>
    <row r="19" spans="2:74" ht="36" customHeight="1" x14ac:dyDescent="0.55000000000000004">
      <c r="B19" s="12">
        <v>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  <c r="BO19" s="37"/>
      <c r="BP19" s="37"/>
      <c r="BQ19" s="37"/>
      <c r="BR19" s="37"/>
      <c r="BS19" s="37"/>
      <c r="BT19" s="38"/>
      <c r="BU19" s="37"/>
      <c r="BV19" s="37"/>
    </row>
    <row r="20" spans="2:74" ht="36" customHeight="1" x14ac:dyDescent="0.55000000000000004">
      <c r="B20" s="12">
        <v>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  <c r="BO20" s="37"/>
      <c r="BP20" s="37"/>
      <c r="BQ20" s="37"/>
      <c r="BR20" s="37"/>
      <c r="BS20" s="37"/>
      <c r="BT20" s="38"/>
      <c r="BU20" s="37"/>
      <c r="BV20" s="37"/>
    </row>
    <row r="21" spans="2:74" ht="36" customHeight="1" x14ac:dyDescent="0.55000000000000004">
      <c r="B21" s="12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  <c r="BO21" s="37"/>
      <c r="BP21" s="37"/>
      <c r="BQ21" s="37"/>
      <c r="BR21" s="37"/>
      <c r="BS21" s="37"/>
      <c r="BT21" s="38"/>
      <c r="BU21" s="37"/>
      <c r="BV21" s="37"/>
    </row>
  </sheetData>
  <mergeCells count="172">
    <mergeCell ref="B2:F3"/>
    <mergeCell ref="G2:K3"/>
    <mergeCell ref="L2:AB3"/>
    <mergeCell ref="AC2:AE2"/>
    <mergeCell ref="AF2:AI2"/>
    <mergeCell ref="AC3:AE3"/>
    <mergeCell ref="AF3:AI3"/>
    <mergeCell ref="B5:F5"/>
    <mergeCell ref="G5:U5"/>
    <mergeCell ref="V5:Z9"/>
    <mergeCell ref="AA5:AI9"/>
    <mergeCell ref="B6:F6"/>
    <mergeCell ref="G6:U6"/>
    <mergeCell ref="B7:F7"/>
    <mergeCell ref="G7:H7"/>
    <mergeCell ref="I7:L7"/>
    <mergeCell ref="M7:N7"/>
    <mergeCell ref="B9:F9"/>
    <mergeCell ref="G9:I9"/>
    <mergeCell ref="J9:L9"/>
    <mergeCell ref="M9:O9"/>
    <mergeCell ref="P9:R9"/>
    <mergeCell ref="S9:U9"/>
    <mergeCell ref="O7:Q7"/>
    <mergeCell ref="S7:U7"/>
    <mergeCell ref="B8:F8"/>
    <mergeCell ref="G8:L8"/>
    <mergeCell ref="M8:Q8"/>
    <mergeCell ref="R8:U8"/>
    <mergeCell ref="BT11:BV11"/>
    <mergeCell ref="C12:G12"/>
    <mergeCell ref="H12:Y12"/>
    <mergeCell ref="Z12:AC12"/>
    <mergeCell ref="AD12:AG12"/>
    <mergeCell ref="AH12:AK12"/>
    <mergeCell ref="AL12:AO12"/>
    <mergeCell ref="AP12:AQ12"/>
    <mergeCell ref="AR12:AS12"/>
    <mergeCell ref="AT12:AV12"/>
    <mergeCell ref="AP11:AQ11"/>
    <mergeCell ref="AR11:AS11"/>
    <mergeCell ref="AT11:AV11"/>
    <mergeCell ref="AW11:BM11"/>
    <mergeCell ref="BN11:BP11"/>
    <mergeCell ref="BQ11:BS11"/>
    <mergeCell ref="C11:G11"/>
    <mergeCell ref="H11:Y11"/>
    <mergeCell ref="Z11:AC11"/>
    <mergeCell ref="BQ12:BS12"/>
    <mergeCell ref="BT12:BV12"/>
    <mergeCell ref="C13:G13"/>
    <mergeCell ref="H13:Y13"/>
    <mergeCell ref="Z13:AC13"/>
    <mergeCell ref="AD13:AG13"/>
    <mergeCell ref="AH13:AK13"/>
    <mergeCell ref="AL13:AO13"/>
    <mergeCell ref="BT13:BV13"/>
    <mergeCell ref="AP13:AQ13"/>
    <mergeCell ref="AR13:AS13"/>
    <mergeCell ref="AT13:AV13"/>
    <mergeCell ref="AW13:BM13"/>
    <mergeCell ref="BN13:BP13"/>
    <mergeCell ref="BQ13:BS13"/>
    <mergeCell ref="AL14:AO14"/>
    <mergeCell ref="AP14:AQ14"/>
    <mergeCell ref="AR14:AS14"/>
    <mergeCell ref="AT14:AV14"/>
    <mergeCell ref="AD11:AG11"/>
    <mergeCell ref="AH11:AK11"/>
    <mergeCell ref="AL11:AO11"/>
    <mergeCell ref="AW12:BM12"/>
    <mergeCell ref="BN12:BP12"/>
    <mergeCell ref="AR16:AS16"/>
    <mergeCell ref="AT16:AV16"/>
    <mergeCell ref="AW14:BM14"/>
    <mergeCell ref="BN14:BP14"/>
    <mergeCell ref="BQ14:BS14"/>
    <mergeCell ref="BT14:BV14"/>
    <mergeCell ref="C15:G15"/>
    <mergeCell ref="H15:Y15"/>
    <mergeCell ref="Z15:AC15"/>
    <mergeCell ref="AD15:AG15"/>
    <mergeCell ref="AH15:AK15"/>
    <mergeCell ref="AL15:AO15"/>
    <mergeCell ref="BT15:BV15"/>
    <mergeCell ref="AP15:AQ15"/>
    <mergeCell ref="AR15:AS15"/>
    <mergeCell ref="AT15:AV15"/>
    <mergeCell ref="AW15:BM15"/>
    <mergeCell ref="BN15:BP15"/>
    <mergeCell ref="BQ15:BS15"/>
    <mergeCell ref="C14:G14"/>
    <mergeCell ref="H14:Y14"/>
    <mergeCell ref="Z14:AC14"/>
    <mergeCell ref="AD14:AG14"/>
    <mergeCell ref="AH14:AK14"/>
    <mergeCell ref="AW16:BM16"/>
    <mergeCell ref="BN16:BP16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C16:G16"/>
    <mergeCell ref="H16:Y16"/>
    <mergeCell ref="Z16:AC16"/>
    <mergeCell ref="AD16:AG16"/>
    <mergeCell ref="AH16:AK16"/>
    <mergeCell ref="AL16:AO16"/>
    <mergeCell ref="AP16:AQ16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83604D6-FCEC-42E3-AF97-223BA7910AF7}">
          <x14:formula1>
            <xm:f>setting!$F$3:$F$11</xm:f>
          </x14:formula1>
          <xm:sqref>AL19:AO21</xm:sqref>
        </x14:dataValidation>
        <x14:dataValidation type="list" allowBlank="1" showInputMessage="1" showErrorMessage="1" xr:uid="{36DC4325-4CA8-451E-A76F-79B2455D76D3}">
          <x14:formula1>
            <xm:f>setting!$J$3:$J$7</xm:f>
          </x14:formula1>
          <xm:sqref>BN12:BP21</xm:sqref>
        </x14:dataValidation>
        <x14:dataValidation type="list" allowBlank="1" showInputMessage="1" showErrorMessage="1" xr:uid="{1B413568-9A3E-4A21-AAE6-5A6E454B95E2}">
          <x14:formula1>
            <xm:f>setting!$I$3:$I$5</xm:f>
          </x14:formula1>
          <xm:sqref>AT19:AV21</xm:sqref>
        </x14:dataValidation>
        <x14:dataValidation type="list" allowBlank="1" showInputMessage="1" showErrorMessage="1" xr:uid="{8AAAEAFB-B85C-4D85-938C-27178B7BEAB6}">
          <x14:formula1>
            <xm:f>setting!$H$3</xm:f>
          </x14:formula1>
          <xm:sqref>AR19:AS21</xm:sqref>
        </x14:dataValidation>
        <x14:dataValidation type="list" allowBlank="1" showInputMessage="1" showErrorMessage="1" xr:uid="{83ED5540-ADB4-4D7F-8B73-E08CBE75FCCB}">
          <x14:formula1>
            <xm:f>setting!$G$3:$G$5</xm:f>
          </x14:formula1>
          <xm:sqref>AP19:AQ21</xm:sqref>
        </x14:dataValidation>
        <x14:dataValidation type="list" allowBlank="1" showInputMessage="1" showErrorMessage="1" xr:uid="{083393A8-308B-41EF-8C59-F3F32D861172}">
          <x14:formula1>
            <xm:f>setting!$E$3:$E$11</xm:f>
          </x14:formula1>
          <xm:sqref>AH19:AK21</xm:sqref>
        </x14:dataValidation>
        <x14:dataValidation type="list" allowBlank="1" showInputMessage="1" showErrorMessage="1" xr:uid="{B39C82C6-BD56-4FDA-8F79-EAC94623E32C}">
          <x14:formula1>
            <xm:f>setting!$D$3:$D$14</xm:f>
          </x14:formula1>
          <xm:sqref>AD19:AG21</xm:sqref>
        </x14:dataValidation>
        <x14:dataValidation type="list" allowBlank="1" showInputMessage="1" showErrorMessage="1" xr:uid="{25BCC1B3-6FA4-471F-9BFF-83F8AA172C5B}">
          <x14:formula1>
            <xm:f>setting!$C$3:$C$9</xm:f>
          </x14:formula1>
          <xm:sqref>Z19:AC21</xm:sqref>
        </x14:dataValidation>
        <x14:dataValidation type="list" allowBlank="1" showInputMessage="1" xr:uid="{C232054D-D5BE-4FEE-AAD2-837FCE18C4C0}">
          <x14:formula1>
            <xm:f>setting!$B$3:$B$11</xm:f>
          </x14:formula1>
          <xm:sqref>G6:U6</xm:sqref>
        </x14:dataValidation>
        <x14:dataValidation type="list" allowBlank="1" showInputMessage="1" showErrorMessage="1" xr:uid="{48F64D63-98FD-461E-99BD-851B76DBE709}">
          <x14:formula1>
            <xm:f>'C:\Users\ym-uchida\Desktop\作業\ETロボコン関連資料\etrobo_program\基本設計\[コメント表_PID制御.xlsx]setting'!#REF!</xm:f>
          </x14:formula1>
          <xm:sqref>Z12:AV18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0100-6E06-415C-BB46-6609FC07FA07}">
  <sheetPr codeName="Sheet2"/>
  <dimension ref="B2:J21"/>
  <sheetViews>
    <sheetView workbookViewId="0">
      <selection activeCell="H14" sqref="H14"/>
    </sheetView>
  </sheetViews>
  <sheetFormatPr defaultRowHeight="18" x14ac:dyDescent="0.55000000000000004"/>
  <cols>
    <col min="2" max="2" width="14.25" bestFit="1" customWidth="1"/>
    <col min="3" max="3" width="22.25" bestFit="1" customWidth="1"/>
    <col min="4" max="4" width="22.25" customWidth="1"/>
    <col min="5" max="5" width="18.5" customWidth="1"/>
    <col min="6" max="6" width="14.25" bestFit="1" customWidth="1"/>
  </cols>
  <sheetData>
    <row r="2" spans="2:10" ht="18.5" thickBot="1" x14ac:dyDescent="0.6">
      <c r="B2" s="7" t="s">
        <v>8</v>
      </c>
      <c r="C2" s="7" t="s">
        <v>24</v>
      </c>
      <c r="D2" s="7" t="s">
        <v>75</v>
      </c>
      <c r="E2" s="7" t="s">
        <v>25</v>
      </c>
      <c r="F2" s="7" t="s">
        <v>11</v>
      </c>
      <c r="G2" s="7" t="s">
        <v>12</v>
      </c>
      <c r="H2" s="7" t="s">
        <v>17</v>
      </c>
      <c r="I2" s="7" t="s">
        <v>13</v>
      </c>
      <c r="J2" s="7" t="s">
        <v>14</v>
      </c>
    </row>
    <row r="3" spans="2:10" ht="18.5" thickTop="1" x14ac:dyDescent="0.55000000000000004">
      <c r="B3" s="6" t="s">
        <v>51</v>
      </c>
      <c r="C3" s="6" t="s">
        <v>27</v>
      </c>
      <c r="D3" s="6" t="s">
        <v>49</v>
      </c>
      <c r="E3" s="6" t="s">
        <v>35</v>
      </c>
      <c r="F3" s="6" t="s">
        <v>51</v>
      </c>
      <c r="G3" s="6" t="s">
        <v>61</v>
      </c>
      <c r="H3" s="6" t="s">
        <v>64</v>
      </c>
      <c r="I3" s="6" t="s">
        <v>65</v>
      </c>
      <c r="J3" s="6" t="s">
        <v>69</v>
      </c>
    </row>
    <row r="4" spans="2:10" x14ac:dyDescent="0.55000000000000004">
      <c r="B4" s="5" t="s">
        <v>52</v>
      </c>
      <c r="C4" s="5" t="s">
        <v>26</v>
      </c>
      <c r="D4" s="5" t="s">
        <v>50</v>
      </c>
      <c r="E4" s="5" t="s">
        <v>34</v>
      </c>
      <c r="F4" s="5" t="s">
        <v>52</v>
      </c>
      <c r="G4" s="5" t="s">
        <v>62</v>
      </c>
      <c r="H4" s="5"/>
      <c r="I4" s="5" t="s">
        <v>66</v>
      </c>
      <c r="J4" s="5" t="s">
        <v>70</v>
      </c>
    </row>
    <row r="5" spans="2:10" x14ac:dyDescent="0.55000000000000004">
      <c r="B5" s="5" t="s">
        <v>53</v>
      </c>
      <c r="C5" s="5" t="s">
        <v>29</v>
      </c>
      <c r="D5" s="5" t="s">
        <v>43</v>
      </c>
      <c r="E5" s="5" t="s">
        <v>36</v>
      </c>
      <c r="F5" s="5" t="s">
        <v>53</v>
      </c>
      <c r="G5" s="5" t="s">
        <v>63</v>
      </c>
      <c r="H5" s="5"/>
      <c r="I5" s="5" t="s">
        <v>68</v>
      </c>
      <c r="J5" s="5" t="s">
        <v>72</v>
      </c>
    </row>
    <row r="6" spans="2:10" x14ac:dyDescent="0.55000000000000004">
      <c r="B6" s="5" t="s">
        <v>54</v>
      </c>
      <c r="C6" s="5" t="s">
        <v>28</v>
      </c>
      <c r="D6" s="5" t="s">
        <v>42</v>
      </c>
      <c r="E6" s="5" t="s">
        <v>39</v>
      </c>
      <c r="F6" s="5" t="s">
        <v>54</v>
      </c>
      <c r="G6" s="5"/>
      <c r="H6" s="5"/>
      <c r="I6" s="5"/>
      <c r="J6" s="5" t="s">
        <v>67</v>
      </c>
    </row>
    <row r="7" spans="2:10" x14ac:dyDescent="0.55000000000000004">
      <c r="B7" s="5" t="s">
        <v>55</v>
      </c>
      <c r="C7" s="5" t="s">
        <v>18</v>
      </c>
      <c r="D7" s="5" t="s">
        <v>44</v>
      </c>
      <c r="E7" s="5" t="s">
        <v>37</v>
      </c>
      <c r="F7" s="5" t="s">
        <v>55</v>
      </c>
      <c r="G7" s="5"/>
      <c r="H7" s="5"/>
      <c r="I7" s="5"/>
      <c r="J7" s="5" t="s">
        <v>71</v>
      </c>
    </row>
    <row r="8" spans="2:10" x14ac:dyDescent="0.55000000000000004">
      <c r="B8" s="5" t="s">
        <v>56</v>
      </c>
      <c r="C8" s="5" t="s">
        <v>31</v>
      </c>
      <c r="D8" s="5" t="s">
        <v>45</v>
      </c>
      <c r="E8" s="5" t="s">
        <v>38</v>
      </c>
      <c r="F8" s="5" t="s">
        <v>56</v>
      </c>
      <c r="G8" s="5"/>
      <c r="H8" s="5"/>
      <c r="I8" s="5"/>
      <c r="J8" s="5"/>
    </row>
    <row r="9" spans="2:10" x14ac:dyDescent="0.55000000000000004">
      <c r="B9" s="5" t="s">
        <v>57</v>
      </c>
      <c r="C9" s="5" t="s">
        <v>30</v>
      </c>
      <c r="D9" s="5" t="s">
        <v>46</v>
      </c>
      <c r="E9" s="5" t="s">
        <v>33</v>
      </c>
      <c r="F9" s="5" t="s">
        <v>57</v>
      </c>
      <c r="G9" s="5"/>
      <c r="H9" s="5"/>
      <c r="I9" s="5"/>
      <c r="J9" s="5"/>
    </row>
    <row r="10" spans="2:10" x14ac:dyDescent="0.55000000000000004">
      <c r="B10" s="5" t="s">
        <v>58</v>
      </c>
      <c r="C10" s="5"/>
      <c r="D10" s="5" t="s">
        <v>47</v>
      </c>
      <c r="E10" s="5" t="s">
        <v>40</v>
      </c>
      <c r="F10" s="5" t="s">
        <v>58</v>
      </c>
      <c r="G10" s="5"/>
      <c r="H10" s="5"/>
      <c r="I10" s="5"/>
      <c r="J10" s="5"/>
    </row>
    <row r="11" spans="2:10" x14ac:dyDescent="0.55000000000000004">
      <c r="B11" s="5" t="s">
        <v>59</v>
      </c>
      <c r="C11" s="5"/>
      <c r="D11" s="5" t="s">
        <v>19</v>
      </c>
      <c r="E11" s="5" t="s">
        <v>32</v>
      </c>
      <c r="F11" s="5" t="s">
        <v>59</v>
      </c>
      <c r="G11" s="5"/>
      <c r="H11" s="5"/>
      <c r="I11" s="5"/>
      <c r="J11" s="5"/>
    </row>
    <row r="12" spans="2:10" x14ac:dyDescent="0.55000000000000004">
      <c r="B12" s="5"/>
      <c r="C12" s="5"/>
      <c r="D12" s="5" t="s">
        <v>48</v>
      </c>
      <c r="E12" s="5"/>
      <c r="F12" s="5"/>
      <c r="G12" s="5"/>
      <c r="H12" s="5"/>
      <c r="I12" s="5"/>
      <c r="J12" s="5"/>
    </row>
    <row r="13" spans="2:10" x14ac:dyDescent="0.55000000000000004">
      <c r="B13" s="5"/>
      <c r="C13" s="5"/>
      <c r="D13" s="5" t="s">
        <v>41</v>
      </c>
      <c r="E13" s="5"/>
      <c r="F13" s="5"/>
      <c r="G13" s="5"/>
      <c r="H13" s="5"/>
      <c r="I13" s="5"/>
      <c r="J13" s="5"/>
    </row>
    <row r="14" spans="2:10" x14ac:dyDescent="0.55000000000000004">
      <c r="B14" s="5"/>
      <c r="C14" s="5"/>
      <c r="D14" s="5" t="s">
        <v>32</v>
      </c>
      <c r="E14" s="5"/>
      <c r="F14" s="5"/>
      <c r="G14" s="5"/>
      <c r="H14" s="5"/>
      <c r="I14" s="5"/>
      <c r="J14" s="5"/>
    </row>
    <row r="15" spans="2:10" x14ac:dyDescent="0.55000000000000004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55000000000000004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55000000000000004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55000000000000004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55000000000000004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55000000000000004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55000000000000004">
      <c r="B21" s="5"/>
      <c r="C21" s="5"/>
      <c r="D21" s="5"/>
      <c r="E21" s="5"/>
      <c r="F21" s="5"/>
      <c r="G21" s="5"/>
      <c r="H21" s="5"/>
      <c r="I21" s="5"/>
      <c r="J21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コメント表_回転数計算</vt:lpstr>
      <vt:lpstr>コメント表_PWM計算</vt:lpstr>
      <vt:lpstr>コメント表_角度計算</vt:lpstr>
      <vt:lpstr>コメント表_距離計算</vt:lpstr>
      <vt:lpstr>コメント表_HSV値計算</vt:lpstr>
      <vt:lpstr>コメント表_PID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プロマネ研究室</dc:creator>
  <cp:lastModifiedBy>福島龍人</cp:lastModifiedBy>
  <dcterms:created xsi:type="dcterms:W3CDTF">2022-12-07T12:22:33Z</dcterms:created>
  <dcterms:modified xsi:type="dcterms:W3CDTF">2025-06-25T02:51:35Z</dcterms:modified>
</cp:coreProperties>
</file>